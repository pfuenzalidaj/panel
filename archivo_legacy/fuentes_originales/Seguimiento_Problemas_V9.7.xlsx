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https://cdec365.sharepoint.com/sites/ContinuidadOperacional2/Documentos compartidos/Gestión de Problemas/Problemas 2026/"/>
    </mc:Choice>
  </mc:AlternateContent>
  <xr:revisionPtr revIDLastSave="2615" documentId="8_{1F15B006-3517-40FB-946D-14D3F35F668A}" xr6:coauthVersionLast="47" xr6:coauthVersionMax="47" xr10:uidLastSave="{D077D65F-A800-4914-95C7-D48BD3524045}"/>
  <bookViews>
    <workbookView xWindow="-120" yWindow="-120" windowWidth="29040" windowHeight="15720" tabRatio="535" activeTab="1" xr2:uid="{00000000-000D-0000-FFFF-FFFF00000000}"/>
  </bookViews>
  <sheets>
    <sheet name="Consolidado" sheetId="39" r:id="rId1"/>
    <sheet name="REPORTE SEMÁFORO SEMANAL" sheetId="31" r:id="rId2"/>
    <sheet name="REPORTE CALENDARIO" sheetId="41" r:id="rId3"/>
    <sheet name="Dashboard" sheetId="50" r:id="rId4"/>
    <sheet name="ChartData" sheetId="4" state="hidden" r:id="rId5"/>
  </sheets>
  <definedNames>
    <definedName name="JR_PAGE_ANCHOR_0_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0" i="41" l="1"/>
  <c r="G40" i="41"/>
  <c r="H40" i="41"/>
  <c r="I40" i="41"/>
  <c r="J40" i="41"/>
  <c r="M40" i="41"/>
  <c r="N40" i="41"/>
  <c r="O40" i="41"/>
  <c r="P40" i="41"/>
  <c r="Q40" i="41"/>
  <c r="Q47" i="41"/>
  <c r="P47" i="41"/>
  <c r="O47" i="41"/>
  <c r="N47" i="41"/>
  <c r="M47" i="41"/>
  <c r="G47" i="41"/>
  <c r="F47" i="41"/>
  <c r="Q46" i="41"/>
  <c r="P46" i="41"/>
  <c r="O46" i="41"/>
  <c r="N46" i="41"/>
  <c r="M46" i="41"/>
  <c r="G46" i="41"/>
  <c r="F46" i="41"/>
  <c r="Q45" i="41"/>
  <c r="P45" i="41"/>
  <c r="O45" i="41"/>
  <c r="N45" i="41"/>
  <c r="M45" i="41"/>
  <c r="G45" i="41"/>
  <c r="F45" i="41"/>
  <c r="Q39" i="41"/>
  <c r="P39" i="41"/>
  <c r="O39" i="41"/>
  <c r="N39" i="41"/>
  <c r="M39" i="41"/>
  <c r="L39" i="41"/>
  <c r="J39" i="41"/>
  <c r="I39" i="41"/>
  <c r="H39" i="41"/>
  <c r="G39" i="41"/>
  <c r="F39" i="41"/>
  <c r="Q38" i="41"/>
  <c r="P38" i="41"/>
  <c r="O38" i="41"/>
  <c r="N38" i="41"/>
  <c r="M38" i="41"/>
  <c r="L38" i="41"/>
  <c r="J38" i="41"/>
  <c r="I38" i="41"/>
  <c r="H38" i="41"/>
  <c r="G38" i="41"/>
  <c r="F38" i="41"/>
  <c r="Q37" i="41"/>
  <c r="P37" i="41"/>
  <c r="O37" i="41"/>
  <c r="N37" i="41"/>
  <c r="M37" i="41"/>
  <c r="L37" i="41"/>
  <c r="J37" i="41"/>
  <c r="I37" i="41"/>
  <c r="H37" i="41"/>
  <c r="G37" i="41"/>
  <c r="F37" i="41"/>
  <c r="Q36" i="41"/>
  <c r="P36" i="41"/>
  <c r="O36" i="41"/>
  <c r="N36" i="41"/>
  <c r="M36" i="41"/>
  <c r="L36" i="41"/>
  <c r="J36" i="41"/>
  <c r="I36" i="41"/>
  <c r="H36" i="41"/>
  <c r="G36" i="41"/>
  <c r="F36" i="41"/>
  <c r="Q35" i="41"/>
  <c r="P35" i="41"/>
  <c r="O35" i="41"/>
  <c r="N35" i="41"/>
  <c r="M35" i="41"/>
  <c r="L35" i="41"/>
  <c r="J35" i="41"/>
  <c r="I35" i="41"/>
  <c r="H35" i="41"/>
  <c r="G35" i="41"/>
  <c r="F35" i="41"/>
  <c r="Q34" i="41"/>
  <c r="P34" i="41"/>
  <c r="O34" i="41"/>
  <c r="N34" i="41"/>
  <c r="M34" i="41"/>
  <c r="L34" i="41"/>
  <c r="J34" i="41"/>
  <c r="I34" i="41"/>
  <c r="H34" i="41"/>
  <c r="G34" i="41"/>
  <c r="F34" i="41"/>
  <c r="Q33" i="41"/>
  <c r="P33" i="41"/>
  <c r="O33" i="41"/>
  <c r="N33" i="41"/>
  <c r="M33" i="41"/>
  <c r="L33" i="41"/>
  <c r="J33" i="41"/>
  <c r="I33" i="41"/>
  <c r="H33" i="41"/>
  <c r="G33" i="41"/>
  <c r="F33" i="41"/>
  <c r="Q32" i="41"/>
  <c r="P32" i="41"/>
  <c r="O32" i="41"/>
  <c r="N32" i="41"/>
  <c r="M32" i="41"/>
  <c r="L32" i="41"/>
  <c r="J32" i="41"/>
  <c r="I32" i="41"/>
  <c r="H32" i="41"/>
  <c r="G32" i="41"/>
  <c r="F32" i="41"/>
  <c r="Q31" i="41"/>
  <c r="P31" i="41"/>
  <c r="O31" i="41"/>
  <c r="N31" i="41"/>
  <c r="M31" i="41"/>
  <c r="L31" i="41"/>
  <c r="J31" i="41"/>
  <c r="I31" i="41"/>
  <c r="H31" i="41"/>
  <c r="G31" i="41"/>
  <c r="F31" i="41"/>
  <c r="Q22" i="41"/>
  <c r="I22" i="41"/>
  <c r="H22" i="41"/>
  <c r="G22" i="41"/>
  <c r="F22" i="41"/>
  <c r="Q21" i="41"/>
  <c r="I21" i="41"/>
  <c r="H21" i="41"/>
  <c r="G21" i="41"/>
  <c r="F21" i="41"/>
  <c r="Q20" i="41"/>
  <c r="I20" i="41"/>
  <c r="H20" i="41"/>
  <c r="G20" i="41"/>
  <c r="F20" i="41"/>
  <c r="Q19" i="41"/>
  <c r="I19" i="41"/>
  <c r="H19" i="41"/>
  <c r="G19" i="41"/>
  <c r="F19" i="41"/>
  <c r="Q18" i="41"/>
  <c r="I18" i="41"/>
  <c r="H18" i="41"/>
  <c r="G18" i="41"/>
  <c r="F18" i="41"/>
  <c r="Q17" i="41"/>
  <c r="I17" i="41"/>
  <c r="H17" i="41"/>
  <c r="G17" i="41"/>
  <c r="F17" i="41"/>
  <c r="Q16" i="41"/>
  <c r="I16" i="41"/>
  <c r="H16" i="41"/>
  <c r="G16" i="41"/>
  <c r="F16" i="41"/>
  <c r="Q15" i="41"/>
  <c r="I15" i="41"/>
  <c r="H15" i="41"/>
  <c r="G15" i="41"/>
  <c r="F15" i="41"/>
  <c r="Q14" i="41"/>
  <c r="I14" i="41"/>
  <c r="H14" i="41"/>
  <c r="G14" i="41"/>
  <c r="F14" i="41"/>
  <c r="Q13" i="41"/>
  <c r="I13" i="41"/>
  <c r="H13" i="41"/>
  <c r="G13" i="41"/>
  <c r="F13" i="41"/>
  <c r="Q12" i="41"/>
  <c r="I12" i="41"/>
  <c r="H12" i="41"/>
  <c r="G12" i="41"/>
  <c r="F12" i="41"/>
  <c r="Q11" i="41"/>
  <c r="I11" i="41"/>
  <c r="H11" i="41"/>
  <c r="G11" i="41"/>
  <c r="F11" i="41"/>
  <c r="Q10" i="41"/>
  <c r="I10" i="41"/>
  <c r="H10" i="41"/>
  <c r="G10" i="41"/>
  <c r="F10" i="41"/>
  <c r="Q9" i="41"/>
  <c r="I9" i="41"/>
  <c r="H9" i="41"/>
  <c r="G9" i="41"/>
  <c r="F9" i="41"/>
  <c r="Q8" i="41"/>
  <c r="I8" i="41"/>
  <c r="H8" i="41"/>
  <c r="G8" i="41"/>
  <c r="F8" i="41"/>
  <c r="Q7" i="41"/>
  <c r="I7" i="41"/>
  <c r="H7" i="41"/>
  <c r="G7" i="41"/>
  <c r="F7" i="41"/>
  <c r="M69" i="31"/>
  <c r="M74" i="31" s="1"/>
  <c r="M60" i="31"/>
  <c r="M46" i="31"/>
  <c r="M21" i="31"/>
  <c r="L14" i="31"/>
</calcChain>
</file>

<file path=xl/sharedStrings.xml><?xml version="1.0" encoding="utf-8"?>
<sst xmlns="http://schemas.openxmlformats.org/spreadsheetml/2006/main" count="1723" uniqueCount="411">
  <si>
    <t>Estado</t>
  </si>
  <si>
    <t>Fecha de Creación</t>
  </si>
  <si>
    <t>Prioridad</t>
  </si>
  <si>
    <t>Sub Gerencia</t>
  </si>
  <si>
    <t>Jefe Dpto</t>
  </si>
  <si>
    <t>Aplicativo</t>
  </si>
  <si>
    <t>Tipo de problema</t>
  </si>
  <si>
    <t>Breve descripcion</t>
  </si>
  <si>
    <t>Causa raíz</t>
  </si>
  <si>
    <t>Resolutor Final</t>
  </si>
  <si>
    <t>Alcance</t>
  </si>
  <si>
    <t>Ageing</t>
  </si>
  <si>
    <t>Workaround</t>
  </si>
  <si>
    <t>Resultado  WA</t>
  </si>
  <si>
    <t>Pendiente por informar</t>
  </si>
  <si>
    <t>Media</t>
  </si>
  <si>
    <t>SGCO</t>
  </si>
  <si>
    <t>Juan Pablo Chavol</t>
  </si>
  <si>
    <t>Capacidad/Infraestructura</t>
  </si>
  <si>
    <t>Inexistentes</t>
  </si>
  <si>
    <t>Servidores</t>
  </si>
  <si>
    <t>Corresponde a incidentes recurrentes de inestabilidad en servicios PI, bases de datos SQL y el clúster VMware, afectando la disponibilidad de datos operativos utilizados en SCADA y en el Videowall del CDC Enea.</t>
  </si>
  <si>
    <t>Limitaciones de la arquitectura VMware provisoria, que no está correctamente dimensionada para soportar cargas operativas críticas junto con procesos intensivos como los respaldos VEEAM, provocando saturación de CPU, memoria y disco, afectando PI, SQL y los nodos del clúster.</t>
  </si>
  <si>
    <t>Parcial</t>
  </si>
  <si>
    <t>Cerrado</t>
  </si>
  <si>
    <t>Alta</t>
  </si>
  <si>
    <t>SGISA</t>
  </si>
  <si>
    <t>Jorge Espinoza</t>
  </si>
  <si>
    <t>Correspondencia</t>
  </si>
  <si>
    <t>Error de Diseño/Lógica</t>
  </si>
  <si>
    <t>Roberto Moore</t>
  </si>
  <si>
    <t>Interno</t>
  </si>
  <si>
    <t>Efectivo</t>
  </si>
  <si>
    <t>María Cristian Véliz</t>
  </si>
  <si>
    <t>Gobernanza/Procesos</t>
  </si>
  <si>
    <t>Las tablas críticas de Operación Real usan un tipo de dato entero para el campo ID.</t>
  </si>
  <si>
    <t>Modificación manual en BD del tipo de dato del ID mediante ejecución de scripts en la base de datos para ampliar el rango.</t>
  </si>
  <si>
    <t>Con fecha de Compromiso</t>
  </si>
  <si>
    <t>Mercado - Contratos (IFC3)</t>
  </si>
  <si>
    <t>Baja</t>
  </si>
  <si>
    <t>Correspondencia no permite descargar reportes de cartas enviadas cuando el rango es de 12 meses.</t>
  </si>
  <si>
    <t>el sistema no soporta el volumen de datos que implica generar un reporte de un año completo</t>
  </si>
  <si>
    <t>Portal de Pagos</t>
  </si>
  <si>
    <t>SIP</t>
  </si>
  <si>
    <t>Luis Nuñez</t>
  </si>
  <si>
    <t>Infotecnica Activo de transmision</t>
  </si>
  <si>
    <t>Neomante</t>
  </si>
  <si>
    <t>Reiniciar las Instancias que estan ejecutandoce en GCP</t>
  </si>
  <si>
    <t>Los cambios de horario/año están hardcodeados directamente en el código de Neomante.</t>
  </si>
  <si>
    <t>Claudio Acosta</t>
  </si>
  <si>
    <t>Externo</t>
  </si>
  <si>
    <t xml:space="preserve">Se crea ticket problema para encontrar la solución al problema que no permite realizar el cierre de los informes de cierre ingresados por los coordinados.
Se adjunta el siguiente detalle: 
Ticket: 63406
OBSERVACIONES: Jefe de turno reporta que no se puede realizar el cierre de los informes de cierre, cada vez que se realiza la acción se observa el error "Zona horaria de la fecha de retorno no esta determinada", imposibilitando cumplir las funciones a cargo.
ESTADO: Se contacto con el Turno de App's Legadas para análisis y revisión. Se observo que los cambios horarios se manejan directamente desde el código y no estaba contemplado en el mismo código el año 2026 (tope máximo 2025), generando así el error de fecha indicado en la imagen.
Mitigación:
Se determino agregar en "caliente" una línea en el código ampliando el espectro de la fechas hasta 2026, cambio agregado - &gt;  '2026': {}.
Jefe de turno valida e indica que el erro ya no aparece, dando así por mitigado el incidente.
</t>
  </si>
  <si>
    <t>PGP</t>
  </si>
  <si>
    <t>El problema ocurrió porque un usuario eliminó un requerimiento que estaba siendo usado como plantilla en proyectos activos del sistema PGP.</t>
  </si>
  <si>
    <t>Un usuario eliminó un requerimiento que estaba siendo utilizado como plantilla en proyectos activos dentro del sistema PGP.</t>
  </si>
  <si>
    <t>Hector Pacheco</t>
  </si>
  <si>
    <t>Operación Real</t>
  </si>
  <si>
    <t>El sistema posee mecanismos de control de duplicidad y una estructura que no permite reprocesar archivos históricos cuando existen cargas más recientes.</t>
  </si>
  <si>
    <t>Corresponde a fallas reportadas por diversas empresas coordinadas que no podían entregar sus pronósticos de generación horaria mediante la conexión SFTP hacia el servidor pronostico.coordinador.</t>
  </si>
  <si>
    <t>La causa del problema está asociada a que las IPs de los coordinados no estaban habilitadas en el firewall del SFTP.</t>
  </si>
  <si>
    <t>Infraestructura debe habilitar IPs cuando cambien</t>
  </si>
  <si>
    <t>Rio</t>
  </si>
  <si>
    <t>VPN</t>
  </si>
  <si>
    <t>Acceso Abierto</t>
  </si>
  <si>
    <t>Alta Critica</t>
  </si>
  <si>
    <t>Usuarios reportan caídas o imposibilidad de acceso debido a que el portal trabaja con rutas HTTP internas y dependencias no actualizadas en el código. Nuevos navegadores bloquean estas llamadas.</t>
  </si>
  <si>
    <t>Uso de HTTP en rutas y microservicios internos dentro del portal.</t>
  </si>
  <si>
    <t>Patricio Fuenzalida</t>
  </si>
  <si>
    <t>El sistema presenta un error en la lógica de cierre automático de sesión.</t>
  </si>
  <si>
    <t>El problema ocurre porque la plataforma no valida ni actualiza correctamente el estado real de la sesión cuando expira.</t>
  </si>
  <si>
    <t>Recargar la página (F5) para forzar la actualización del estado de sesión.</t>
  </si>
  <si>
    <t xml:space="preserve">Nuevos </t>
  </si>
  <si>
    <t xml:space="preserve">​APLICATIVO: Costo Marginal en línea (cálculo y gráfico)
ERROR O FALLA: Costo de falla en el cálculo, valores fuera de rango.
​REPORTADO POR: Ignacio Aguirre (GM)
​ 
​OBSERVACIONES: Posterior a la detección y corrección del problema, se solicitó reprocesar toda la data del día en curso, lo cual finalizó exitosamente y fue validado por la Gerencia de Mercados (Ignacio Aguirre).  Además se habilitaron nuevamente los gráficos tanto del home, como de la sección de costos marginales del portal.
​Falla provocada por la ingesta de datos​
</t>
  </si>
  <si>
    <t>Los usuarios solicitan recurrentemente la eliminación de cuadros de pago</t>
  </si>
  <si>
    <t>El sistema no cuenta con un módulo que permita eliminar cuadros de pago desde el front o desde una interfaz operativa.</t>
  </si>
  <si>
    <t>se resuelve manualmente mediante ejecución de scripts por ST Computación</t>
  </si>
  <si>
    <t>Reinicio del servidor SRVSIPUBBD</t>
  </si>
  <si>
    <t>Diego Silva Echaniz</t>
  </si>
  <si>
    <t>Costo Marginal Real</t>
  </si>
  <si>
    <t>Access Manager (SSO)</t>
  </si>
  <si>
    <t>Pablo Vasquez</t>
  </si>
  <si>
    <t>REUC</t>
  </si>
  <si>
    <t>Monitoreo e Inactivación de Usuarios REUC mediante Gestión de Rebotes</t>
  </si>
  <si>
    <t>Mercado - Observaciones (IFC2)</t>
  </si>
  <si>
    <t>Inconsistencia en resultados de filtrado entre Vista Pública y Vista Privada en IFC2 – Observaciones</t>
  </si>
  <si>
    <t>REPORTE SEMÁFORO SEMANAL — SEGUIMIENTO DE PROBLEMAS</t>
  </si>
  <si>
    <t>Problemas sin compromiso ni fecha de resolución. Requieren atención inmediata.</t>
  </si>
  <si>
    <t>Problemas con fecha comprometida o en monitoreo. En seguimiento activo.</t>
  </si>
  <si>
    <t>Problemas resueltos y cerrados. No requieren acción adicional.</t>
  </si>
  <si>
    <t>Jefe Dpto / Responsable</t>
  </si>
  <si>
    <t>🔴 Rojo</t>
  </si>
  <si>
    <t>🟡 Amarillo</t>
  </si>
  <si>
    <t>TOTAL</t>
  </si>
  <si>
    <t>Semáforo</t>
  </si>
  <si>
    <t>Vurnerabilidades Correspondencia</t>
  </si>
  <si>
    <t>Enero</t>
  </si>
  <si>
    <t>Marzo</t>
  </si>
  <si>
    <t>Abril</t>
  </si>
  <si>
    <t>Mayo</t>
  </si>
  <si>
    <t>Junio</t>
  </si>
  <si>
    <t>Julio</t>
  </si>
  <si>
    <t>Agosto</t>
  </si>
  <si>
    <t>Septiembre</t>
  </si>
  <si>
    <t>Octubre</t>
  </si>
  <si>
    <t>Noviembre</t>
  </si>
  <si>
    <t>Diciembre</t>
  </si>
  <si>
    <t>Cantidad</t>
  </si>
  <si>
    <t>Responsable</t>
  </si>
  <si>
    <t>Total Problemas</t>
  </si>
  <si>
    <t>Pendientes</t>
  </si>
  <si>
    <t>Cerrados</t>
  </si>
  <si>
    <t>PLABACOM</t>
  </si>
  <si>
    <t>Fecha de Compromisos</t>
  </si>
  <si>
    <t>Tipo de Compromiso</t>
  </si>
  <si>
    <t>Ocurrencia</t>
  </si>
  <si>
    <t>1 vez</t>
  </si>
  <si>
    <t>2 veces</t>
  </si>
  <si>
    <t>Entre 3 y 5</t>
  </si>
  <si>
    <t>Mas de 5</t>
  </si>
  <si>
    <t>Seguimiento</t>
  </si>
  <si>
    <t>N°Ticket</t>
  </si>
  <si>
    <t>En Proceso de Analisis</t>
  </si>
  <si>
    <t>Infotecnica Instalaciones</t>
  </si>
  <si>
    <t>editar codigo fuente y editar manualmente la lista de distribucion</t>
  </si>
  <si>
    <t>Actualización de OpenShift Definicion de implementacion para garantizar la continuidad Operacional</t>
  </si>
  <si>
    <t>Febrero</t>
  </si>
  <si>
    <r>
      <t>📋</t>
    </r>
    <r>
      <rPr>
        <sz val="11"/>
        <color theme="1"/>
        <rFont val="Calibri"/>
        <family val="2"/>
      </rPr>
      <t xml:space="preserve"> RESUMEN POR RESPONSABLE</t>
    </r>
  </si>
  <si>
    <t>Sin Compromiso</t>
  </si>
  <si>
    <t>Ticket Problema – Recurrencia de Incidentes en Costos Marginales (OPREAL) -Interacción conbucket S3 de AWS</t>
  </si>
  <si>
    <t>Referencia RFC Relacionado: RFC 68022 – Optimización de carga y rendimiento de reportes</t>
  </si>
  <si>
    <t>Renova</t>
  </si>
  <si>
    <t>Recurrencia de error 504 Gateway Timeout en sitio SIP asociada a saturación de servidor SRV-SIPUB-BD</t>
  </si>
  <si>
    <t>llamada a Turno y corrigen directam ente en el sistema</t>
  </si>
  <si>
    <r>
      <t>🔴</t>
    </r>
    <r>
      <rPr>
        <sz val="11"/>
        <color theme="1"/>
        <rFont val="Calibri"/>
        <family val="2"/>
      </rPr>
      <t xml:space="preserve"> ROJO — Sin acción</t>
    </r>
  </si>
  <si>
    <r>
      <t>🟡</t>
    </r>
    <r>
      <rPr>
        <sz val="11"/>
        <color theme="1"/>
        <rFont val="Calibri"/>
        <family val="2"/>
      </rPr>
      <t xml:space="preserve"> AMARILLO — Con compromiso</t>
    </r>
  </si>
  <si>
    <r>
      <t>🟢</t>
    </r>
    <r>
      <rPr>
        <sz val="11"/>
        <color theme="1"/>
        <rFont val="Calibri"/>
        <family val="2"/>
      </rPr>
      <t xml:space="preserve"> VERDE — Cerrado</t>
    </r>
  </si>
  <si>
    <t>Problema por: Inestabilidad recurrente en OVN Kubernetes afecta conectividad del clúster OpenShift OnPremise</t>
  </si>
  <si>
    <t>Openshift</t>
  </si>
  <si>
    <t>Rodrigo Miranda</t>
  </si>
  <si>
    <t>En la etapa final del flujo de ingreso de solicitud, el botón de envío/registro no se deshabilita al primer clic. El usuario puede hacer doble clic y se registran 2 solicitudes duplicadas.</t>
  </si>
  <si>
    <t>La causa principal corresponde a un incumplimiento del proceso de Gestión de Cambios, específicamente en las etapas de evaluación, aprobación y coordinación, lo que derivó en una implementación no controlada.</t>
  </si>
  <si>
    <t>ID Problema</t>
  </si>
  <si>
    <t>Fec. creación</t>
  </si>
  <si>
    <t>Breve descripción</t>
  </si>
  <si>
    <t>SubCategoria</t>
  </si>
  <si>
    <t>Fec. cierre</t>
  </si>
  <si>
    <t>Asignado a</t>
  </si>
  <si>
    <t>En que Consiste el Workaround</t>
  </si>
  <si>
    <t>F. Ult. Modif.</t>
  </si>
  <si>
    <t>Fec. resolución</t>
  </si>
  <si>
    <t>Cerrado por</t>
  </si>
  <si>
    <t>Creado por</t>
  </si>
  <si>
    <t>Quien solicito crear el Ticket Problema</t>
  </si>
  <si>
    <t xml:space="preserve">Durante la madrugada del jueves 21 de mayo de 2026, se ejecutó una migración de infraestructura en la cual el servidor “SRV Programación” (IP 10.0.21.115) fue reemplazado por un nuevo servidor denominado “SRV Subastas” (IP 10.0.21.191).
Como consecuencia directa de esta intervención, se generaron tres incidentes críticos que impactaron la operación. Estos incidentes afectaron la continuidad de los servicios dependientes de la infraestructura intervenida, evidenciando una falta de control y validación previa del cambio.
Tras el análisis del evento, se identificaron las siguientes desviaciones respecto al proceso formal de Gestión de Cambios:
Informe de Incidente Crítico – Gestión de Cambios1. Contexto General2. Descripción del Incidente3. Hallazgos de Gestión de CambiosFalta de evaluación de impacto:
No se realizó un análisis previo que permitiera identificar los riesgos e impactos asociados a la sustitución del servidor.
Ausencia de coordinación inter-áreas:
El cambio no fue comunicado ni coordinado con las áreas involucradas, incluyendo equipos de continuidad operacional.
No presentación en CAB (Change Advisory Board):
El cambio no fue sometido a revisión ni aprobación en instancia formal de CAB, incumpliendo el procedimiento establecido.
Ejecución no controlada del cambio:
La implementación se realizó sin validaciones previas, sin plan de reversa formal ni evidencias de pruebas.
4. Impacto OperacionalGeneración de incidentes críticos inmediatos.Interrupción de servicios asociados.Aumento en tiempos de recuperación (MTTR).Exposición a riesgos operacionales evitables.5. Causa RaízLa causa principal corresponde a un incumplimiento del proceso de Gestión de Cambios, específicamente en las etapas de evaluación, aprobación y coordinación, lo que derivó en una implementación no controlada.
</t>
  </si>
  <si>
    <t>En Proceso de Análisis</t>
  </si>
  <si>
    <t>Ajustes manuales de configuración, actualización de dependencias y redirección de servicios afectados hacia el nuevo servidor (SRV Subastas), junto con reinicios controlados de servicios impactados.</t>
  </si>
  <si>
    <t>Solución definitiva</t>
  </si>
  <si>
    <t>Marcelo Cifuentes</t>
  </si>
  <si>
    <t xml:space="preserve">
Se detecta un error en la plataforma web del CEN al intentar actualizar la empresa solicitante de un proyecto (NUP 4066 – PE Waiwen). Al ejecutar la acción, el sistema no completa la operación y queda en estado de “Cargando” de forma indefinida, impidiendo realizar el cambio de información mediante la interfaz.
El inconveniente afecta directamente la correcta gestión de datos del proyecto, obligando a realizar la actualización de forma manual mediante un workaround técnico. El problema se origina en una mala configuración en el API Gateway durante el despliegue a producción, específicamente en la desactivación del Proxy de Lambda en el método encargado de la actualización, lo que genera fallas en la validación de sesión del usuario.
Descripción General del Problema
</t>
  </si>
  <si>
    <t>Método en API Gateway no tiene activada la característica de Proxy de Lambda, lo que provoca error en la función Lambda al intentar obtener los claims del contexto de sesión mediante Access Token. Esto ocurrió debido a que la configuración no fue considerada en el paso a producción (Referencia: GDA-36 Jira).</t>
  </si>
  <si>
    <t>Externo / Interno</t>
  </si>
  <si>
    <t xml:space="preserve">Hector  Pacheco Romo </t>
  </si>
  <si>
    <t>Se realiza la actualización de la empresa solicitante de forma manual vía intervención directa (workaround), cambiando desde Asesorías del Maule SpA (77.406.205-K) a Akuo Energy Chile SpA (77.532.081-8).</t>
  </si>
  <si>
    <t xml:space="preserve">
26/05/2026 14:53
Hector Pacheco Romo
Favor crear ticket problema para realizar una mejora en la plataforma.
Causa Raiz: En la etapa final en el flujo de ingreso de solicitud el botón no se desactiva al momento de enviar a registrar la solicitud, se determina que el usuario hizo doble clic a este botón y debido a ello, se crearon dos solitudes duplicadas.
Solución: Deshabilitar botón en el primer clic al enviar solicitud.
Favor dejar cerrado el ticket el cual se procederá a resolver bajo el flujo de atención de problemas.
Saludos.
20/05/2026 11:42
Jeronimo Santamaria
Estimados. Se le asigna a Héctor Pacheco. En proceso.
Saludos,
20/05/2026 11:36
​Miguel Monasterio AponteWEB
Se requeire revisar funcionamiento de Platataforma de Acceso Abierto, considerando ingreso duplicado de solicitudes, que corresponde al mimo proyecto. Ejemplos:
Solicitud Híbrido Longotoma
https://accesoabierto.coordinador.cl/private/solicitud/sasc/detail/3014
https://accesoabierto.coordinador.cl/private/solicitud/sasc/detail/3015
Solicitud CRCA Montenegro
https://accesoabierto.coordinador.cl/private/solicitud/sasc/detail/3008
https://accesoabierto.coordinador.cl/private/solicitud/sasc/detail/3009
</t>
  </si>
  <si>
    <t>Instruir al usuario: realizar un solo clic y esperar confirmación/estado; si hay duda, validar en “Mis solicitudes” antes de reintentar. Monitorear duplicados y depurar manualmente si ocurren.</t>
  </si>
  <si>
    <t>Héctor Pacheco Romo</t>
  </si>
  <si>
    <t>Información General
Fecha      detección: 20-05-2026Servicio      afectado: Plataforma OpenShift OnPremiseComponente      afectado: OVN Kubernetes (openshift-ovn-kubernetes)Ambiente:      ProducciónSeveridad:      Alta / Crítica
Responsable      inicial: Infraestructura OpenShiftFuente      detección: Monitoreo Datadog + análisis proactivo de estabilidadSe adjunta al Ticket Informe de Continuidad OperacionalDescripción del Problema
Se detecta comportamiento anómalo y sostenido en el componente de networking OVN Kubernetes del clúster OpenShift OnPremise de producción.
Los pods del DaemonSet ovnkube-node presentan reinicios recurrentes entre 18 y 36 veces durante un período de 22 días, generando degradación intermitente de la conectividad de red del clúster.
Adicionalmente, se registra un volumen elevado de errores operacionales, alcanzando aproximadamente 474.000 errores diarios asociados a:
Fallos      de resolución de endpointsErrores      TLS y conexiones interrumpidasFallas      de asignación de IPsReinicios      de watchers y procesos internos de OVNDado que OVN Kubernetes es un componente transversal de networking del clúster, cualquier degradación impacta potencialmente a todas las aplicaciones y servicios productivos.
Impacto del Negocio
Interrupciones      intermitentes de conectividad entre servicios internosPods      que no logran iniciar por falla en asignación IPPosible      indisponibilidad parcial de aplicaciones críticasRiesgo      operacional sobre componentes core de Kubernetes/OpenShiftAfectación      a monitoreo, almacenamiento CSI y comunicaciones TLS internasDificultad      de diagnóstico a nivel aplicación debido a la naturaleza transversal del      problemaSíntomas Observados
Reinicios recurrentes OVN
Tasa      promedio:~1.3       restarts/día por podMáximo      observado:36       reinicios en 22 díasPods afectados:
ovnkube-node-ffq29ovnkube-node-82q7govnkube-node-wqrrlovnkube-node-2ff47ovnkube-node-tjzdcovnkube-node-9xslgovnkube-node-bcsblovnkube-node-nhdv6ovnkube-node-d529hErrores Registrados
Volumen errores últimos 7 días
Total      errores:3.323.769Promedio:~474K       errores/díaClasificación errores críticos
Categoría
Cantidad
Impacto
Fallos   resolución endpoints
30.228
Servicios   no logran comunicarse
TLS   handshake / connection reset
750
Interrupciones   comunicaciones seguras
Failed   to obtain IPs
160
Pods no   inician
Otros   errores OVN
~3.292.631
Reintentos   internos y degradación
Eventos Relevantes
13-05-2026
Eliminación/redeploy      de ovnkube-control-planeImpacto:interrupción       de red a nivel clúster13-05-2026
Monitor      “No data” en ovnkube-control-planeImpacto:pérdida       temporal de réplicas15-05-2026 al 16-05-2026
Fallas      de asignación IP para pods kube-apiserver13      ocurrencias registradas18-05-2026
Ráfaga      de errores TLS58      errores en ~26 minutosEvento continuo
Reinicios      diarios de ovnkube-nodeServicios Afectados
Servicio
Namespace
Tipo    Falla
vmware-vsphere-csi-driver-controller-metrics
openshift-cluster-csi-drivers
Falla   múltiples puertos
config-policy-controller-metrics
open-cluster-management-agent-addon
TCP/metrics
datadog-agent
datadog
Puerto   8126
kube-apiserver
openshift-kube-apiserver
Fallas   asignación IP
Hipótesis Iniciales
Posibles causas en investigación:
Saturación      o degradación de OVN Northbound/Southbound DBProblemas      de conectividad entre nodos workerConsumo      excesivo de recursos en pods OVNErrores en watchers/event      streams de KubernetesProblemas      de MTU o networking físico/virtualInestabilidad      en OVS/OVN control planeVersiones      o bugs conocidos de OpenShift/OVN KubernetesAcciones Recomendadas
Corto plazo
Habilitar      monitoreo y alertas dedicadas para OVN KubernetesRevisar      logs detallados:ovnkube-nodeovnkube-masterovn-controllerovs-vswitchdValidar      consumo CPU/Memoria de componentes OVNRevisar      estado de bases OVN NBDB/SBDBCorrelacionar      reinicios con eventos de infraestructuraMediano plazo
Ejecutar health-check completo      networking OpenShiftValidar      bugs conocidos en versión actual OpenShiftRevisar      estabilidad red física/VMware subyacenteEvaluar      actualización/patch de OpenShift NetworkingImplementar      dashboard dedicado OVN en DatadogRiesgo
Nivel de riesgo: Crítico
Existe riesgo de:
indisponibilidad      parcial del clúster,fallas      intermitentes difíciles de diagnosticar,afectación      transversal de aplicaciones productivas,degradación      de componentes críticos Kubernetes.Evidencia / Fuente
Plataforma      DatadogLogs      Kubernetes/OpenShiftEventos      del namespace:openshift-ovn-kubernetesPeríodo      analizado:13-05-2026       al 20-05-2026</t>
  </si>
  <si>
    <t>Administrador Plataformagroup ROOT</t>
  </si>
  <si>
    <t>Se detectó una falla en el flujo de PGP donde. al habilitar un requerimiento. las tareas de carga (externa) y aprobación (interna) se activan simultáneamente en lugar de forma secuencial. El comportamiento correcto exige que la tarea de aprobación solo se habilite después de que el usuario externo suba la información. Este error rompe la lógica del proceso y permite aprobaciones sin el sustento necesario.</t>
  </si>
  <si>
    <t xml:space="preserve">​Descripción:
Se detecta un comportamiento incorrecto en el flujo de   requerimientos del sistema PGP. Al momento de habilitar un requerimiento, el   sistema está activando simultáneamente dos tareas, lo cual no corresponde al   comportamiento esperado.
Comportamiento Actual:
Al        activarse un requerimiento, se habilitan dos tareas al mismo tiempo:Tarea         de carga de información por usuario externo.Tarea         de revisión/aprobación por usuario interno (coordinador).Comportamiento Esperado:
Al        activarse un requerimiento:Debe         habilitarse únicamente la tarea donde el usuario externo carga la         información.Una         vez completada esta tarea, debe activarse la segunda tarea         correspondiente al usuario interno (coordinador)para revisión y         aprobación.Impacto:
Se        rompe la secuencia lógica del flujo.Puede        generar confusión en los usuarios.Riesgo        de aprobación sin contar con la información requerida previamente.Ejemplo / Evidencia:
Ticket        relacionado: 68254En        este caso, ambas tareas aparecen activas simultáneamente cuando deberían        ejecutarse de forma secuencial.Área / Sistema:
PGPPrioridad sugerida:
Media        (puede escalar a alta si afecta procesos críticos)Acción requerida:
Analizar        el flujo de activación de tareas en requerimientos PGP.Validar        reglas de negocio que controlan la secuencia.Corregir        la lógica para asegurar ejecución secuencial. 
</t>
  </si>
  <si>
    <t>1. Descripción
Se solicita lacreación de un ticket problemadebido a la recurrencia de incidentes asociados a la funcionalidad“Revisar Costos Marginales”en el sistemaOPREAL, específicamente en el móduloInforme de Novedades.
2. Resumen Ejecutivo del Problema
Se ha identificado la reaparición de una falla que afecta lacorrecta carga y visualización de los costos marginales.
La situación presenta alta similitud con los incidentes previamente gestionados bajo elProblema 99, el cual consideraba como posibles causas:
Latencia o timeout en la comunicación con servicios externosInteracción conbucket S3 de AWSDiferencias de comportamiento entre ambientesLa recurrencia de este incidente evidencia que lacausa raíz no ha sido completamente mitigada.
3. Antecedentes Recientes
Ticket 68.199
Incidente reportado en la visualización de costos marginalesResolución temporal mediantereproceso de datosValidación exitosa por parte del usuario finalSe concluye que la solución aplicada escorrectiva, no definitivaTicket 68.265
Reaparición del error posterior a actividades de actualización
Hallazgos relevantes:
En ambienteQA (10.1.19.25): sin evidencia de latenciaEnProducción (10.0.19.26): persistencia de latenciaEnDesarrollo (10.0.19.127): el error es reproducibleIntegración activa conbucket S3 de AWSpara obtención de datos en líneaNo se registran despliegues de OPREAL en los últimos8 mesesExiste workaround operativo medianteejecución local del proceso, con resultados correctosIncidente recurrente desde el07 de mayo de 20264. Impacto en el Negocio
La falla impacta directamente:
Ladisponibilidad y confiabilidadde la información de costos marginalesEl proceso derevisión operativaen el Informe de NovedadesEsto afecta un componente crítico para latoma de decisiones y generación de reportes, pudiendo derivar en riesgos operacionales.
5. Análisis Preliminar
Los antecedentes sugieren:
Problema intermitente asociado alatencia en servicios externos (AWS S3)Posible dependencia de condiciones del entorno productivoExistencia de workaround que evita el fallo, lo que refuerza la hipótesis de un problemano estructural en los datos, sino en la ejecución/proceso6. Solicitud
Considerando:
La recurrencia del incidenteLa existencia de soluciones temporalesLa ausencia de una resolución definitivaSe solicita:
Reapertura del Problema 99, o en su defectoCreación de un nuevo ticket problema, asegurando su vinculación con:Problema 99Tickets 68.199 y 68.265Con el propósito de:
Profundizar el análisis de causa raízDefinir e implementar unasolución definitiva y sostenible</t>
  </si>
  <si>
    <t>Daniel Trujillo Campos</t>
  </si>
  <si>
    <t xml:space="preserve">
Ticket de Gestión de Problemas: Soporte TI - RENOVA
ID del Problema:PRB-2026-001
Aplicación:RENOVA
Referencia RFC Relacionado:RFC 68022 – Optimización de carga y rendimiento de reportes
Estado:Abierto / Pendiente de Implementación de Mejoras
Responsable Técnico:Equipo EY (Vicente Lucero)
Informado por:Pablo Vásquez Sánchez
1. Análisis del Problema
Tras la implementación del RFC 68022, el cual buscaba optimizar el rendimiento y los tiempos de carga en la generación de reportes, se detectó que, si bien hubo una mejora parcial, persiste una latencia excesiva en escenarios que involucran grandes volúmenes de datos (millones de registros).
Los usuarios reportan tiempos de espera que superan los umbrales de usabilidad. El análisis técnico identificó que el aplicativo realiza múltiples consultas pesadas en paralelo hacia el motor MongoDB, lo que genera una alta presión sobre los recursos de infraestructura (CPU, Memoria y I/O de disco) en el ambiente productivo alojado en AWS.
2. Causa Raíz
Se han identificado múltiples factores técnicos que confluyen en la degradación del rendimiento:
Concurrencia Agresiva:El uso dePromise.all()para disparar cuatro procesos de agregación simultáneos (produced,transferred,received,dragged) satura los recursos del motor de base de datos.Complejidad en Queries NoSQL:Uso de operadores$expry$ifNullen la etapa de filtrado ($match). Esto impide que MongoDB utilice índices de manera eficiente, forzando en muchos casos un escaneo total de la colección (COLLSCAN).Lógica de Fechas Ineficiente:El uso de$orsobre dos campos de fecha distintos (productionDateydraggedProductionDate) dificulta la selección de un plan de ejecución óptimo.Filtros de Baja Selectividad:El uso de operadores de negación como{ $ne: true }obliga al motor a examinar un universo mayor de documentos, afectando el desempeño.Consumo de Memoria:Operaciones de agrupamiento ($group) potencialmente costosas si la cardinalidad de las organizaciones y tipos de energía es alta.3. Workaround (si corresponde)
Actualmente no existe un proceso manual alternativo para los usuarios finales, sin embargo, se han habilitado las siguientes medidas de mitigación técnica:
Ajustes de Timeout:Revisión y ampliación de los tiempos máximos de espera en los procesos asíncronos defrontend_serviceyreport_servicepara evitar cortes abruptos en la carga, aunque la respuesta siga siendo lenta.Uso de Disco para Agregaciones:Habilitación interna deallowDiskUse: trueen agregaciones específicas para prevenir errores de desbordamiento de memoria RAM en el servidor de base de datos.4. Solución Aplicada
Como parte del despliegue del RFC 68022, se aplicaron:
Optimizaciones enfrontend_serviceyreport_servicepara mejorar la gestión de solicitudes.Corrección de configuraciones de tiempos de espera en los servicios involucrados.
No obstante, la solución definitiva requiere cambios estructurales en el modelo de datos y en la lógica de consultas que se detallan en la propuesta de mejoras.5. Propuesta de mejoras para evitar la recurrencia
Para estabilizar la plataforma y garantizar un rendimiento óptimo a largo plazo, se proponen las siguientes acciones:
Normalización y Campo Calculado:Crear un campo persistente llamadodata.effectiveProductionDateque consolide la lógica de fechas en el momento de la inserción, eliminando la necesidad de usar$ifNully$expren tiempo de ejecución.Optimización de Índices:Crear índices compuestos específicos que incluyan el nuevo campo calculado y los filtros más recurrentes (method,status,organizationId).Refactorización de Lógica de Negocio:Reemplazar los filtros{ $ne: true }por valores booleanos explícitos (false) para mejorar la selectividad de los índices.Monitoreo con DBA:Realizar pruebas controladas midiendo métricas de CPU e I/O, ejecutando comandos.explain("executionStats")para validar el cambio deCOLLSCANaIXSCAN.Escalabilidad de Infraestructura:Evaluar junto al equipo DBA si la instancia actual de MongoDB en AWS requiere un ajuste en su capacidad de cómputo o memoria según el comportamiento de las agregaciones.Siguientes Pasos:
Derivar formalmente al equipoEYpara la ejecución de estas mejoras y mantener informada aMaría Cristina Vélizsobre los avances y resultados de las pruebas con el equipo DBA.
</t>
  </si>
  <si>
    <t>Vicente Lucero</t>
  </si>
  <si>
    <t>Info Técnica e Instalaciones  - Problemas con el GET de la API</t>
  </si>
  <si>
    <t xml:space="preserve">​
Ticket Problema (Gestión de Problemas) — Info Técnica e Instalaciones  - Problemas con el GET de la API
Contexto
En CAB del dia 04/05/2026 se revisó un ticket correctivo para   la API de Info Técnica e Instalaciones (IIS) donde el usuario   reporta que algunas APIs no devuelven información. La acción   correctiva presentada fue aumentar el timeout porque la BD   demora al responder por alto volumen de datos (ej.: Sistemas   de Protección ~25.078 ítems, ~836 páginas, sin filtro   temporal).
La solicitud surge específicamente por la insatisfacción   de Patricio Fuenzalida con la solución técnica presentada por Felipe   Monardes, basándose en los siguientes puntos:
Análisis del problema
El        endpoint está expuesto para retornar datasets muy grandes (sin        temporalidad y con baja capacidad de acotar), lo que incrementa el tiempo        de ejecución en BD.Cuando        la consulta no completa dentro del timeout, la API/cliente        percibe “sin datos” (respuesta vacía/timeout), generando intermitencia        funcional.El        ajuste de timeout reduce el síntoma pero no        elimina la condición que provoca la latencia.Causa raíz
Causa        raíz técnica: patrón de consumo/diseño del endpoint orientado        a retorno masivo + consulta(s) con costo alto en        BD (cardinalidad/plan/IO), provocando latencias  &gt;  timeout.Causa        contribuyente (proceso): no hubo análisis formal de        performance (plan de ejecución/tuning/índices) validado con BD;        el equipo BD indicó que no lo revisó.Workaround (si corresponde)
Aumentar        timeout API→BD (mitigación) para permitir completar la consulta y        retornar datos.Operativo        temporal: consumir con paginación/segmentación si el        cliente lo permite (evitar “full dump”).Solución aplicada
Se incrementó        el tiempo de espera (timeout) hacia BD para evitar corte        prematuro de la consulta y retorno “vacío”.Se        mantiene rollback: restaurar configuración/artefactos previos        si el ajuste genera efectos no deseados. 
</t>
  </si>
  <si>
    <t>Felipe Monardes</t>
  </si>
  <si>
    <t>Aumentar timeout API BD (mitigación) para permitir completar la consulta y retornar datos</t>
  </si>
  <si>
    <t xml:space="preserve">Se crea ticket problema para solucionar el error de conexión de los microservicios de Plabacom con la Base de datos.
Se revisaron los logs de los componentes plabacom-api-reports, plabacom-api-masterdata y backend-for-frontend, evidenciándose incidencias de distinta naturaleza. 
En los servicios plabacom-api-reports y plabacom-api-masterdata se observan errores de conexión hacia la base de datos asociados a timeout en la obtención de conexiones JDBC/Hikari, con mensajes tales como: “HikariPool-1 - Connection is not available, request timed out after 30000ms”, “Unable to acquire JDBC Connection” y “The connection is closed”. Esto evidencia fallas de disponibilidad/comunicación con la base de datos al momento de atender solicitudes. 
En el caso de plabacom-api-reports, adicionalmente se registra un error de base de datos por truncamiento de datos al insertar en la tabla PLABACOM.dbo.log_process_details, columna message_error, con el mensaje “String or binary data would be truncated”. 
Por otra parte, en backend-for-frontend no se evidencia en estos logs un timeout de conexión a BD; sin embargo, sí se observan errores 502 Bad Gateway provenientes de openresty al consumir servicios backend relacionados con report/getiframe y masterdata/getInternalParameterById. 
Se adjunta los logs analizados.
Saludos.
</t>
  </si>
  <si>
    <t>La causa principal corresponde a problemas de disponibilidad y gestión del pool de conexiones hacia la base de datos (Hikari/JDBC). generando timeouts al no poder obtener conexiones activas dentro del tiempo establecido.</t>
  </si>
  <si>
    <t>TICBLUE DBA</t>
  </si>
  <si>
    <t xml:space="preserve">
El sistema IFC2 – Observaciones tiene dos vistas para mostrar la información:
Aunque ambas permiten buscar y filtrar datos, no funcionan de la misma manera por detrás, y por eso muestran resultados distintos cuando se hace la misma consulta.
Cuando un usuario aplica un filtro, por ejemplo por fecha o tipo de observación:
Esto genera:
La causa está en cómo cada vista obtiene y filtra los datos:
Imagina que existen 10.000 observaciones en la base de datos:
Por eso:➡️ Faltan resultados que sí existen
Hacer que ambas vistas funcionen igual, específicamente:
✅ Resultados iguales en ambas vistas
✅ Información completa y confiable
✅ Menos confusión para los usuarios
✅ Comportamiento coherente sin importar el perfil de acceso
Vista PúblicaVista Privada¿Cuál es el problema?En la Vista Privada aparecen más resultadosEn la Vista Pública aparecen menos resultadosConfusión en los usuariosDesconfianza en la informaciónInconsistencia entre lo que ven diferentes perfiles¿Por qué ocurre esto?✅ Vista Privada (funciona correctamente)No carga todos los datos de una vezCada vez que se filtra:La solicitud va al servidorEl servidor busca en toda la base de datosResultado:
👉 El filtro siempre se aplica sobre el total de la información real⚠️ Vista Pública (origen del problema)Al inicio:Carga solo una parte de los datosLuego:Los filtros se aplican solo sobre lo que ya está cargadoNo consulta nuevamente al servidorResultado:
👉 El filtro trabaja con información incompleta, sobre todo cuando hay muchos registrosEjemplo simpleLa Vista Pública carga solo 1.000El usuario filtra por un criterioEl sistema busca solo dentro de esos 1.000, no en los 10.000¿Cuál es la solución propuesta?🔧 En el BackendAjustar el servicio de la Vista Pública para que:Reciba filtrosDevuelva datos ya filtrados y paginadosSiempre consulte la base completa🖥️ En el FrontendCambiar la Vista Pública para que:Deje de filtrar localmenteCada cambio de filtro haga una nueva consulta al servidor¿Qué se logra con esto?
✅ Resultados iguales en ambas vistas
✅ Información completa y confiable
✅ Menos confusión para los usuarios
✅ Comportamiento coherente sin importar el perfil de acceso
</t>
  </si>
  <si>
    <t>La diferencia en los resultados se origina por una discrepancia en el alcance de la búsqueda de cada interfaz: Vista Privada (Consulta Exhaustiva): Cada filtro ejecuta una petición directa al servidor. procesando el universo total de registros alojados en la base de datos. Vista Pública (Consulta Acotada): Los filtros operan únicamente sobre el set de datos cargado al inicio de la sesión. Al trabajar sobre una muestra parcial y local en el navegador. el sistema omite cualquier registro que no haya sido incluido en esa carga inicial.</t>
  </si>
  <si>
    <t>Matías Riquelme Alvarez</t>
  </si>
  <si>
    <t>Al crear usuarios de rol lista de distribución y luego en las solicitudes. al activar un requerimiento que involucran a este usuario. estos requerimientos no son informados en la vista de Requerimientos Pendientes del usuario de lista de distribución.</t>
  </si>
  <si>
    <t xml:space="preserve">​​
Se genera el ticket regulatorio 66949, además se solicita   crear un ticket problema para corregir esto de forma definitiva.
Problema
Al crear usuarios de rol lista de distribución y luego en las   solicitudes, al activar un requerimiento que involucran a este usuario, estos   requerimientos no son informados en la vista de Requerimientos Pendientes del   usuario de lista de distribución.
Causa Raíz
Hay un proceso en el componente pgp-api-load-pending-task que   carga los requerimientos pendientes pero el proceso utiliza una lista de   usuarios hard codeado, por lo que los usuarios nuevos no se les cargan estos   requerimientos.
Solución
Se debe cambiar la lista hard codeada por una consulta a la base   de datos que obtenga la lista dinámica de los usuarios que tiene el rol de   lista de distribución.
Saludos.
Héctor Pacheco Romo
Desarrollador Full Stack
Gerencia de Tecnología y Sistemas
Santiago de Chile
Tel: +56 224246300
 www.coordinador.cl
</t>
  </si>
  <si>
    <t xml:space="preserve">
Incidente / Requerimiento:
Imposibilidad de monitorear y gestionar adecuadamente la inactivación de usuarios REUC en empresas coordinadas debido a la falta de visibilidad sobre correos rebotados o inactivos dentro de la aplicación. Esto impide emitir alertas proactivas a los coordinados y mantener la base de datos depurada.
Solución:
Desarrollar una integración con SendGrid para capturar eventos de correos rebotados en tiempo real. Esto permitirá identificar automáticamente cuentas de correo inválidas, habilitar la inactivación programada de dichos usuarios y generar un sistema de alertas proactivas para la gestión eficiente de las cuentas coordinadas.
</t>
  </si>
  <si>
    <t>Ticket de Problema – Incidente SSO - impactando a:   Hub. REUC. Kronos</t>
  </si>
  <si>
    <t xml:space="preserve">​​
Ticket de Problema – Incidente HUB / SSO / 
Problema (Falla originada en el HUB del SSO)
Título
Intermitencia y desbalanceo de servicios HUB – reinicio manual de Tomcat para recuperación
Fecha / Hora del incidente
Lunes 30 de marzo de 2026, aproximadamente 00:15 hrs 
Jueves 02 de Abril de 2026, aproximadamente 07:00 hrs 
Servicio afectado
HUB – Servicios dependientes: Correspondencia / SSO – Infraestructura Tomcat en clúster/ REUC / Kronos
Criticidad
Alta (P1 durante el evento, rebajado tras recuperación manual)
Descripción del problema
Durante la mañana se detectó una intermitencia breve ("pestañeo") en el HUB, la cual impactó inicialmente al servicio de Correspondencia, elevándose un incidente P1.
Se validó posteriormente que el origen no correspondía a Correspondencia, sino a la capa HUB, por lo que el P1 fue ajustado.
En el servidor .66 los servicios aparecían como activos, sin embargo fue necesario reiniciar procesos Tomcat para que los servicios volvieran a operar correctamente.
Posteriormente se observó desbalanceo del clúster, dado que el servidor .67 no levantaba correctamente, situación que fue resuelta minutos después.
Impacto
- Interrupción/intermitencia momentánea del HUB
- Impacto indirecto a Correspondencia
- Tráfico desbalanceado entre nodos
- Requerimiento de acción manual para recuperación
Análisis inicial / Hallazgos
- Estado inconsistente entre nodos del clúster HUB
- Nodo .66 recupera tras reinicio de Tomcat
- Nodo .67 presenta retraso en el levantamiento
- Logs Tomcat de ambos servidores adjuntos
Acción correctiva inmediata
- Reinicio manual de servicios Tomcat en servidor .66
- Validación de levantamiento del servidor .67
- Normalización del balanceo
Causa raíz
En análisis (pendiente revisión detallada de logs Tomcat)
Acciones pendientes
1. Análisis detallado de logs Tomcat (.66 y .67)
2. Determinar causa del desbalanceo inicial
3. Validar health checks, memoria y threads
4. Definir medidas preventivas
Responsables
Soporte y Continuidad Operacional / Equipo de Aplicativos
</t>
  </si>
  <si>
    <t xml:space="preserve">Estimados,
comento que se realizó el primer análisis de vulnerabilidades del aplicativo usando la herramienta Fortify, este arrojo un issue book en donde se muestra una gran cantidad de casos los cuales deben ser resueltos.
Luego de hablar con Karin Gonzales y Jeremmy Vasquez del área de ciberseguridad, se llegó a un acuerdo de ir resolviendo estos casos de manera gradual en cada desarrollo posible, debido a la gran cantidad de temas a resolver, esto asegura que se irán haciendo mejoras y resolviendo las vulnerabilidades a futuro.
Se hará una planificación para ir incluyendo estas mejoras de vulnerabilidad justo a correctivos y evolutivos próximos del aplicativo.
Saludos cordiales.
</t>
  </si>
  <si>
    <t>Ciberseguridad Cumplimiento</t>
  </si>
  <si>
    <t>El usuario indica que no es posible acceder al buscador público de cartas desde el enlace disponible en la página web del Coordinador. Al intentar ingresar. el sitio queda pegado en la carga inicial y no avanza. impidiendo el acceso al buscador.</t>
  </si>
  <si>
    <t xml:space="preserve">
Descripción del problema:
El usuario indica que no es posible acceder al buscador público de cartas desde el enlace disponible en la página web del Coordinador. Al intentar ingresar, el sitio queda pegado en la carga inicial y no avanza, impidiendo el acceso al buscador.
Adicionalmente, se reporta que el sitio www.cartas.coordinador ha estado presentando problemas desde hace un tiempo, quedando detenido en la pantalla de carga y, en ocasiones, mostrando un error 502 (Bad Gateway).
Impacto:
Requerimiento:
Solicita revisar y normalizar el funcionamiento del enlace y del sitio www.cartas.coordinador, identificando la causa del bloqueo de carga y el error 502.
El usuario no puede acceder al buscador público de cartas.Interrupción del servicio web asociado.Posible afectación a otros usuarios que utilicen el mismo enlace.
</t>
  </si>
  <si>
    <t xml:space="preserve">Se crea ticket problema por sitio SIP presenta error504 (Gateway Timeout). el cual ya tiene 2 ticket P1 por el mismo problema cada 2 semanas segun lo indicado por Rodrigo Miranda en su oportunidad el servidor SRV-SIPUB-BD se encontraba saturado por alto consumo de CPU.
​
</t>
  </si>
  <si>
    <t xml:space="preserve">
Requerimiento P1, Llamado al turno de Liesel Ormeño, GM. Eliminación de "Cuadro de Pagos" ID 3587 (Portal de Pagos).
Funcionalidad no existe en aplicación. Se recomienda a usuaria solicitar solución evolutiva que resuelva necesidad de modo permanente.
</t>
  </si>
  <si>
    <t>Genérico ST Computación</t>
  </si>
  <si>
    <t>Incidencia registrada el día 12. donde fallaron balanceadores S10. provocando indisponibilidad en varios aplicativos. generando múltiples alertas y tickets asociados.</t>
  </si>
  <si>
    <t xml:space="preserve">Llamado del NOC por aplicativos Kronos, Bizagi y hub.coordinador.cl no disponibles, se revisa plataforma hub/sso no detectando problemas, se contacta a turno DIRS/infraestructura y se detecta que el sitio hub.coordinador.cl no se está publicando, al revisar los balanceadores S10 estos no responden, se reinician y al volver se detecta que el sitio HUB está abajo desde la consola del S10. logran levantarlo y se retoma la funcionalidad.
</t>
  </si>
  <si>
    <t>Falla o degradación en los balanceadores S10. lo que provocó indisponibilidad en el SSO</t>
  </si>
  <si>
    <t>APLICATIVO: Costo Marginal en línea (cálculo y gráfico) ERROR O FALLA: Costo de falla en el cálculo. valores fuera de rango.  REPORTADO POR: Ignacio Aguirre (GM)     OBSERVACIONES: Posterior a la detección y corrección del problema. se solicitó reprocesar toda la data del día en curso. lo cual finalizó exitosamente y fue validado por la Gerencia de Mercados (Ignacio Aguirre).  Además se habilitaron nuevamente los gráficos tanto del home. como de la sección de costos marginales del portal.   Falla provocada por la ingesta de datos</t>
  </si>
  <si>
    <t>Genérico Sincron</t>
  </si>
  <si>
    <t xml:space="preserve">
Se crea ticket problema para visualizar el proceso y la solución a la caída, intermitencia e indisponibilidad de los servicios de openshift, cuando se realizan las actualizaciones.
Se visualiza el siguiente detalle: 
Interrupción en los servicios durante el proceso de actualización.Se observaron errores de Terminating, ContainerCreating, ImagePullBackOff y ErrImagePullSe visualiza una sobre carga en uno de los nodos, ocasionando la perdida del mismo y la dificultad de subida de los pods
</t>
  </si>
  <si>
    <t>La ejecución de múltiples actualizaciones en múltiples versiones de OpenShift. lo que generó indisponibilidad en otros aplicativos.    Actualización de OpenShift Definicion de implementacion para garantizar la continuidad Operacional</t>
  </si>
  <si>
    <t xml:space="preserve">Este error es provocado por un incorrecto método o lógica de cierre de sesión, en el cual se debe forzar la recarga de la pantalla para evitar problemas en donde las acciones del usuario no se mesclen con la vista pública, ya que los datos visualizados por el usuario corresponden justamente a esta vista, pero al momento de guardar una edición en pantalla, la plataforma lo envía al login indicando un error de permisos para realizar tal acción.
</t>
  </si>
  <si>
    <t xml:space="preserve">Tomando el siguiente ejemplo sse debe crear un mecanismo o procedimiento que asegure el menor impacto ante un cambio importante o critico en ambientes productivos:
Solicitud de definición de mecanismo de autorización por criticidad y ventanas horarias para cambios en Producción
Con el fin de asegurar la continuidad operacional y minimizar el riesgo de indisponibilidad o degradación de servicios, se solicita definir e implementar un mecanismo formal de autorización escalonada para la ejecución de cambios en ambientes productivos, donde el nivel de aprobación y las ventanas de ejecución dependan directamente de la criticidad e impacto del cambio.
Este mecanismo debe garantizar que todo cambio con potencial de impacto relevante cuente con una aprobación explícita previa, por parte de los responsables correspondientes, y que los cambios de alta criticidad se ejecuten exclusivamente en horarios controlados (ventanas de mantenimiento), evitando periodos de alta demanda y horarios sensibles para el negocio.
Se requiere establecer un esquema donde:
Autorización: Responsable técnico / líder de plataforma o servicio.
Ejecución: Horario hábil o extendido, siempre que no afecte usuarios finales.
Condición: No requiere involucramiento de negocio.
Autorización: Dueño del servicio + Jefatura/Coordinación de Operaciones (o equivalente).
Ejecución: Preferentemente fuera de punta; permitido en horario hábil solo si el impacto es nulo o mínimo.
Condición: Debe existir capacidad de reacción del equipo (presencial o on-call).
Autorización:
Autorización:
Se solicita que el procedimiento establezca explícitamente:
Para incidentes que requieran intervención inmediata (seguridad, caída de servicio, degradación severa), el mecanismo debe definir un flujo de emergencia donde:
Se solicita que este mecanismo quede formalizado y difundido, de forma que:
1) Principio central: “No se ejecuta en Producción sin autorización acorde a criticidad”Cada cambio sea clasificado por criticidad (por ejemplo: Bajo / Medio / Alto / Crítico).Para cada nivel se defina:Quién autoriza (rol o cargo).Cuándo puede ejecutarse (ventana horaria permitida).Qué condiciones mínimas habilitan su ejecución (por ejemplo: disponibilidad de personal de soporte, presencia de on-call, etc.).2) Niveles de autorización propuestos (foco en aprobación y horario)A. Cambios Bajos (bajo impacto)B. Cambios Medios (impacto acotado, riesgo controlable)C. Cambios Altos (potencial de interrupción o impacto a usuarios/servicios críticos)Dueño del servicio (TI) yRepresentante de Operación/Continuidad yAprobación de negocio (si afecta procesos core o clientes).
Ejecución:Solo en ventana de mantenimiento definida, con soporte reforzado y monitoreo activo.
Condición: Presencia/confirmación de equipo técnico + operaciones (war-room o guardia activa).D. Cambios Críticos (alto riesgo, impacto masivo, core business, seguridad o infraestructura transversal)Jefatura TI responsable yContinuidad Operacional/Operaciones yNegocio (dueño del proceso) yAprobación de liderazgo (Gerencia/Subgerencia o equivalente) cuando corresponda por alcance.
Ejecución:Exclusivamente en ventana de mantenimiento “mayor” (horario protegido), idealmente en periodos de menor transaccionalidad (madrugada/fin de semana), con:Go/No-Go formal antes de ejecutar.Ventana de reversa dentro del mismo periodo.Equipos clave disponibles durante toda la intervención y posterior estabilización.3) Ventanas horarias y reglas de ejecución (foco operativo)Ventanas permitidas (ejemplo)Ventana estándar: cambios medios/altos en horarios de baja demanda.Ventana mayor: cambios críticos, con “horario protegido” (madrugada/fin de semana) y recursos asegurados.Importante: La ventana debe definirse en función de los horarios reales de mayor criticidad operacional (cierre contable, procesamiento batch, peaks de atención, etc.) y restringir cambios críticos en dichos periodos.
Regla de restricción por horarioQueda definido que cambios altos/críticos no se ejecutan en:Horario punta transaccional.Ventanas de cierres operacionales del negocio.Periodos con dotación reducida si no hay guardia/on-call confirmada.Todo cambio crítico debe tener un período de estabilización post cambio dentro de la misma ventana, con monitoreo y capacidad inmediata de reversa.4) Excepción: cambios de emergencia (autorización acelerada)La autorización sea acelerada, pero explícita (ej.: “aprobación de guardia/operaciones + dueño del servicio”).Se habilite la ejecución fuera de ventana, solo si la no intervención implica un riesgo mayor.Se registre la decisión y se formalice una revisión posterior (post-mortem / RCA), sin que esto reemplace la aprobación previa de emergencia.5) Resultado esperadoSea inequívoco quién puede autorizar qué tipo de cambio.Estén definidas las ventanas horarias obligatorias para cambios críticos.Se reduzca significativamente el riesgo de impactos en horarios sensibles, fortaleciendo la continuidad operacional.
</t>
  </si>
  <si>
    <t>Luis  Ibacache Valdivia</t>
  </si>
  <si>
    <t xml:space="preserve">Se crea ticket problema para Error protocolo http, impidiendo el ingreso a Administrado Pronósticos.
Se adjunta el siguiente detalle: 
Se visualiza que ocurre un problema al realizar ingreso al administrador de Portal Pronósticos, los síntomas son un bucle infinito en la carga y ocasinando errores en el ingreso:
Diagnostico:
El diagnostico que se tiene de este problema se asocia a un error en los consumos de los microservicios, el administrados utiliza microservicios que aun se encuentran en protocolo http y no en https nativos, por ende, los navegadores con mayor implementaciones de seguridad (Egde) no permiten la utilización de http, ocasinando asi el bucle infinito.
Workaround:
 Como medida de workaround, se indico al usuario que entrar por google chrome y/o se habilitara la opción de cambiar el tipo de navegación segura o también eliminar modificar la url eliminando el https que colocan los navegadores por defecto.
</t>
  </si>
  <si>
    <t>Pronosticos de Demanda</t>
  </si>
  <si>
    <t>Agente Prodigio</t>
  </si>
  <si>
    <t>El único “workaround” operativo es indicar a los usuarios que deben aceptar la advertencia de seguridad del navegador. cuando es posible.</t>
  </si>
  <si>
    <t>Corresponde a una falla en el módulo de digitalización / resumen de generación real en OP Real. donde:</t>
  </si>
  <si>
    <t xml:space="preserve">Se crea ticket problema para encontrar solución al error: 
Problema:
El usuario Jose Ponce Ramirez, detecto un error en el módulo Digitación  &gt;  Operación Coordinado, el cual también fue reportado por QA (Bug 217835) en sus pruebas del ticket 55027), relativo a una incorrecta sobreescritura de datos.
Pasos para reproducir el problema:
Ingresar a OpReal con una cuenta con permisos de ingreso de datos en llaves de Operación Real (Admin o Coordinado con empresa con llaves asignadas).Abrir el módulo Digitación  &gt;  Operación Coordinado.Seleccionar un coordinado con llaves asociadas.Ingresar datos con más de dos decimales (idealmente de distintos valores), y hacer clic en Enviar reporte.Obtener los datos ingresados vía API, y guardar para comparación.Volver a la fecha y llave con datos recientemente ingresados, cambiar el valor de solo una casilla (idealmente una con valores cero o sin muchos decimales), y hacer clic en Enviar reporte.Obtener nuevamente los datos ingresados vía API, y comparar con los anteriores.​Comportamiento esperado:solo el dato modificado expresamente en el último envío cambia.
Comportamiento ocurrido:todos los valores son redondeados al segundo decimal.
Ejemplo:en el QA del ticket 55027 se ingresaron los datos de la tercera columna en la llave "elos-lagos" del ambiente QA, a las 10:13, con el fin de probar la solución de dicho ticket. Luego, a las 18:03, realicé un segundo envío con el objetivo de rellenar en ceros las horas que, en ese momento, se encontraban sin datos. Todos los datos fueron extraídos vía API.
26-08-2025
1
0.0001
0
26-08-2025
2
0.005
0.01
26-08-2025
3
0.0049
0
26-08-2025
4
0.04999
0.05
26-08-2025
5
0.099
0.1
26-08-2025
6
0.098
0.1
26-08-2025
7
0.049
0.05
26-08-2025
8
0
0
26-08-2025
9
0
0
26-08-2025
10
0
0
26-08-2025
11
0
0
26-08-2025
12
0
0
26-08-2025
13
0
0
26-08-2025
14
0
0
26-08-2025
15
0
0
26-08-2025
16
0
0
26-08-2025
17
0
0
26-08-2025
18
0
0
Solicitud:Los datos no modificados en un ingreso manual no deben ser enviados al sistema, de forma tal que no se sobrescriban en la base de datos.
Este ticket, el 58178, reporta una sobreescritura no deseada en el módulo Operación Coordinado a la hora de realizar distintos envíos de ingresos manuales de datos. (Ticket histórico con mayor detalle referente al incidente)
Saludos.
</t>
  </si>
  <si>
    <t>Crítica</t>
  </si>
  <si>
    <t>La vista del módulo solo muestra dos decimales. pese a que la base de datos almacena más.</t>
  </si>
  <si>
    <t>Corresponde a fallas relacionadas con la VPN. donde usuarios no lograban conectarse correctamente.</t>
  </si>
  <si>
    <t xml:space="preserve">Se crea ticket problema para dar solución al problema de accesos a VPN: 
Se adjunta el siguiente detalle: 
Aplicativo: FortiClient
Errores: 
- To many bad login attempts. Please tru again in a few minutes.
- SSL VPN connection is down: To many bad login attempts. Please tru again in a few minutes: 
Con este ticket se busca encontrar la causa raíz y mitigarla de forma definitiva.
</t>
  </si>
  <si>
    <t>Vanja Marusic</t>
  </si>
  <si>
    <t>Se origina por un incidente que afectó al aplicativo RioWeb. donde los usuarios podían completar el login. pero la aplicación no cargaba contenido. quedando detenida después de autenticarse</t>
  </si>
  <si>
    <t xml:space="preserve">Se crea ticket Problema para dar seguimiento y solución a la causa raíz del incidente asociado al ticket 63046 y que tiene relación a Key vencida que afecta al aplicativo rioweb.
Dejo evidencia de lo informado por Continuidad al momento del incidente y su mitigación.
</t>
  </si>
  <si>
    <t>La causa raíz identificada corresponde a una API Key caducada. utilizada para la comunicación entre el frontend y los servicios backend (GraphQL)</t>
  </si>
  <si>
    <t xml:space="preserve">Se crea ticket problema para encontrar la solución o procedimiento al problema que no permitía realizar entrega de pronósticos mediante la conexión SFTP para los coordinados.
Varias empresas habían indicado que existían problemas de conexión SFTP, por medio de la cual se recibe información de pronósticos de generación de todas las empresas renovables, de manera horaria.
Se adjunta el siguiente detalle:
Ticket: 63383
OBSERVACIONES: Se realizo warroom con los equipos DAI, Infraestructura, Redes y Continuidad, donde se realizaron pruebas y se observó que las IP's de la lista blanca de los coordinados no estaban agregadas a las reglas del firewall para permitir la conexión, equipo de Redes procede a agregar la lista y se visualiza respuesta por parte del servidor permitiendo la conexión.
Estado: Resuelto a las 14:00 Horas aprox del 01/01/2026
Mitigación:
Equipo de Redes procede a agregar a la lista blanca las ip’s de los coordinados y se visualiza respuesta por parte del servidor permitiendo la conexión.
</t>
  </si>
  <si>
    <t>La plataforma no permite volver a cargar PIDs históricas cuando existen cargas posteriores   exige intervención manual en BD.</t>
  </si>
  <si>
    <t xml:space="preserve">No se puede volver a reprocesar un archivo accdb de una PID pasada, ósea no permite el remplazo de esta para volver a cargar desde esa que fue cargada si es que hay carga posterior a la que se requiere reemplazar.
Problema relacionado a los siguientes tickets:
- 62838​
</t>
  </si>
  <si>
    <t xml:space="preserve">Debido al incidente declarado en el ticket 63037, se propone la siguiente mejora que permite al usuario resolver error en caso de que vuelva a ocurrir.
Dado que el cambio realizado fue de tipo lógico, se propone agregar en el mantenedor de requerimientos un botón para activar o desactivar el requerimiento, en reemplazo del botón de eliminación. Esto evitaría la pérdida definitiva de registros y permitiría su reactivación en caso de ser necesario.
</t>
  </si>
  <si>
    <t>"Cambiar el estado del requerimiento eliminado (de ""eliminado"" a activo)"</t>
  </si>
  <si>
    <t>Corresponde a una indisponibilidad del servicio de autenticación ADFS. lo que provocaba errores HTTP 503 en la plataforma Rioweb)</t>
  </si>
  <si>
    <t xml:space="preserve">
Problema creado para formalizar la búsqueda de causa raíz del incidente y gestión de la solución.
Se adjunta información del INCIDENTE que afectó a RIO 07/01/2026 y que posiblemente también impactó en otros aplicativos.
NOTIFICACIÓN INCIDENTE RIO WEB MITIGADO
Buen día:
APLICATIVO: RIO WEB
ERROR O FALLA: Error al realizar login Error 503 Servicio no disponible (adfs.coordinador.cl)
TICKET: 63576
REPORTADO POR: Alexis Urtubia CDC
OBSERVACIONES: Se contacta al Turno Aplicativos DAI, quienes se encuentran en trayecto al CEN, paralelamente se solicita a Turno DIRS/INFRA el reinicio de la máquina "adfs":
10 minutos aproximadamente después el sistema no presenta problemas:
VALIDACIÓN: Jefe de turno Luis Anticoi y Alexis Urtubia CDC ingresan sin problemas al aplicativos y se evidencia la carga de registros/instrucciones.
DOWNTIME: 30 minutos aproximadamente, cabe mencionar que las sesiones activas (turno saliente) no presentaron problemas.
</t>
  </si>
  <si>
    <t>Configuración incorrecta en la memoria del “Windows Internet Database”. que permitió un consumo total de la RAM del servidor ADFS.</t>
  </si>
  <si>
    <t>Neomante. donde el sistema impide realizar el cierre de informes debido a un error asociado al cambio de año.</t>
  </si>
  <si>
    <t xml:space="preserve">Se crea ticket problema para darle seguimiento al incidente relacionado con Neomante - No permite realizar el cierre de los informes de cierre ingresados por los coordinados.
Antecedentes:
El problema sucede debido a que los cambios horarios se manejan directamente desde el código y no estaba contemplado en el mismo código el año 2026, el año máximo era 2025, generando así el error de fecha indicado en la imagen.
Workaround:
Se realizo un workaround segun el siguiente detalle:
Agregar en "caliente" una línea en el código ampliando el espectro de la fechas hasta 2026, cambio agregado - &gt;  '2026': {}
Jefe de turno valida e indica que el error ya no aparece, dando así por mitigado el incidente.
Saludos.
</t>
  </si>
  <si>
    <t>Deuda Tecnica</t>
  </si>
  <si>
    <t>Jorge  Espinoza Vargas</t>
  </si>
  <si>
    <t>Modificar manualmente el código para agregar el año correspondiente. tal como se hizo en 2025</t>
  </si>
  <si>
    <t>Se genera a raíz de incidentes de alta latencia e intermitencia en la plataforma web Activos de Transmisión. lo que afectó la correcta operación del sistema para los usuarios del área de Activos e Información Técnica.</t>
  </si>
  <si>
    <t xml:space="preserve">Buenas tardes, se crea registro de problema relacionado a Activos de Transmisión
Se deja como antecedente lo declarado en el Canal "Equipo Alertas Rojas" el día 05-12.2025.
Se realizó mesa técnica el día de hoy (11-12-2025)
______________________________________________________________
Buenos tardes:
APLICATIVO: Activos de Transmisión
ERROR O FALLA: Latencia e intermitencias en servicio de Activos de Transmisión 
TICKET: 62550
REPORTADO POR: Soporte Activos
OBSERVACIONES: Usuario indica que se registra, por parte del equipo de activos e información técnica, la presencia de condiciones de alta latencia e intermitencia en el servicio de la plataforma web de Activos de Transmisión.
Se ha observado que, de forma aleatoria, las tablas de algunas instalaciones no cargan, o presentan un retraso considerable. Además, en algunos casos, esta condición impide el inicio de sesión de los usuarios.
Hasta ahora, no se han reportado condiciones de error en la API.
ACTUALIZACION: Se conlleva warroom con el equipo DAI y DBA, se visualiza que la latencia fue una momentánea, se observa que se puedo haber debido a un problema con las transacciones de las consultas a la base de datos entren las 10 y 11:30 am, posterior a eso se ve una normalización de la latencia y las transacciones. 
A partir de las 12:00 horas el usuario valida que la plataforma esta funcionando correctamente, dando por mitigado el incidente.
Compromiso: Hector Pacheco (DAI) y equipo DBA conllevaran el análisis causa raíz, el cual será entregado posterior a la recopilación de los datos (logs)
</t>
  </si>
  <si>
    <t>Existe una incapacidad tecnológica para administrar adecuadamente los recursos y utilizarlos de manera óptima. lo que afecta la eficiencia operativa y limita la capacidad de respuesta.</t>
  </si>
  <si>
    <t>Corresponde a un incidente crítico generado por una modificación en reglas del firewall. lo que provocó que una regla crítica de comunicación entre ambientes ITO fuera desplazada. afectando directamente la carga de archivos SCADA.</t>
  </si>
  <si>
    <t xml:space="preserve">Se crea ticket Problema para dar seguimiento a la solución del Incidente 61698 - Problema conectividad TO/TI. 
Se deja como observación que actividad produjo INCIDENTE en SCADA reportado por el Despacho bajo el ticket 61698
- Luego del cambio de políticas de firewall realizado el día 12/11/2025 se perdieron unas reglas que permitían la comunicación TI-TO para la carga de archivos
- Se encontró que el servicio del servido PRI_smb que genera el movimiento de archivos tampoco estaba funcionando
- Se reinició los servicios y empezó a operar, sin embargo, no lograba realizar la transferencia de archivos al no existir una regla que comunicara el ambiente de TI-TO.
Se crearon unas reglas específicas para solucionar el problema que deben ser depuradas con tiempo. Se crea ticket Problema 127.
Se documenta más antecedentes.
La causa en resumen es:
Durante el cambio de VLAN la regla del segmento de redes que estaba aplicada se cambio de posición, esto afectó dado que otra regla hacía match con requerimientos pero que no aplicaban de la misma forma, se corrigió subiendo la regla migrada de posición. Esto se debe a que la regla que se movió es muy amplia (corresponde a un segmento de red muy amplio se asimila a un Any Any), dado esto en las futuras migraciones se analizará antes de la migración ajustar estas, para evitar situaciones así, y a futuro corresponde la aplicación de un hardenizado de reglas para ajustar dichas reglas.
</t>
  </si>
  <si>
    <t>"Cambio de políticas en el Firewall: Se modificaron las reglas de seguridad de la red. Consecuencia inmediata: Se ""perdieron"" o dejaron de funcionar las reglas que permitían que el ambiente TI (Tecnología de la Información) hablara con el ambiente TO (Tecnología de la Operación - en este caso. el sistema SCADA que controla la operación real). El impacto: No se podían cargar ni transferir archivos críticos para la operación de despacho."</t>
  </si>
  <si>
    <t>Carlos  Varas Mardones</t>
  </si>
  <si>
    <t>Errores recurrentes en consumo de API''s Portal del Desarrollador</t>
  </si>
  <si>
    <t xml:space="preserve">​Se crea ticket problema para realizar seguimiento y llegar a la solución de las intermitencias/errores que se visualizan al consumir las API's del Portal del Desarrollador.
Estos errores lo levantan los coordinados y son muy variados, teniendo errores como: 404 Not Found, 500 Internal Server Error, 504 Gateway Timeout, No Mapping Rule, entre otros.
</t>
  </si>
  <si>
    <t>Causas raíz identificadas (combinadas) 1 Arquitectura heterogénea y en transición • APIs apuntando a Athena (deprecado). Redshift. RDS apagado. etc. • Cambios de backend sin contrato claro para los consumidores. 2 Falta de gobierno de APIs • Endpoints que se:  o deprecian. o apagan. o reemplazan. sin comunicación ni versionado efectivo. • Falta de catálogo oficial actualizado de APIs SIPUB. 3 Problemas de diseño de API • Manejo inconsistente de:  o paginación. o rangos de fecha. o timestamps y zonas horarias. • Validaciones incompletas   errores 500/502 en vez de respuestas controladas. 4 Problemas operacionales • Reset de permisos en Redshift. • Reingestas manuales. • Dependencia de pipelines NiFi sensibles a cambios de horario.</t>
  </si>
  <si>
    <t xml:space="preserve">​Se crea ticket problema para realizar seguimiento y llegar a la solución del error al realizar las descargar de archivos en el sistema correspondencia referente a la información de 12 meses.
Ticket de incidente involucrado: 56734 - Falla en descarga reportes cartas enviadas - Sistema de correspondencia.
</t>
  </si>
  <si>
    <t>Falla intermitente en la descarga de los contratos IFC-3. tanto en: Vista pública Vista Interna</t>
  </si>
  <si>
    <t xml:space="preserve">Se crea ticket problema para realizar seguimiento y llegar a la solución del error al realizar las descargar de IFC3 Contratos. 
Se adjunta el siguiente detalle obtenido de la problemática: 
Se visualiza un error al realizar las descarga de todos los Contratos de Suministro, se realiza la prueba con más de un usuario y en incógnito. No funciona la descarga con login y tampoco en la vista pública:
Se visualiza que el problema es intermitente, al realizar la descarga de los contratos, el proceso en el Lamba (AWS) se demora mas de 20/30segundos en disponibilizar los datos, provocando que el protocolo de seguridad del API Gateway corte la conexión y no permita la descarga.
Cabe mencionar que una vez disponibilidad los datos en el Lamba, si se vuelve a iterar con la descarga, esta se realizara sin problemas, la problemática es el Lamba como parte de su funcionalidad, no contiene los datos indefinidamente, por ende, este error se da cada vez que paso el tiempo de no utilización de los mismos.
El problema fue levantado por la usuaria  Liesel Ormeño en el ticket 55879.
</t>
  </si>
  <si>
    <t>efectivo para el usuario final. Si falla. la única alternativa es que el usuario vuelva a intentar la descarga</t>
  </si>
  <si>
    <t>Tablas críticas de OP Real están llegando al límite del tipo de dato utilizado para el campo ID   provoca fallas de inserción y bloqueos</t>
  </si>
  <si>
    <t xml:space="preserve">Ticket Problema creado para dar solución a la problemática: Tablas de la BD de Operal alcanzan su id máximo soportable y no permite realizar nuevos ingresos.
Se determina la siguiente causa raíz según documento entregado por proveedor:
El problema radica en las tablas de las BD's de OpReal alcanzan su id máximo soportable y no permite realizar nuevos ingresos.
Para esto, se requiere cambiar el tipo de dato del campo ID pasando de INT a BIGINT.
Ticket asociado:
55623 - [OpReal] Incidente en carga de datos reportado por compañía.
54527 - Problema para acceder a base de datos analítica.
Se adjunta correos de WA aplicados.
</t>
  </si>
  <si>
    <t xml:space="preserve">Se crea ticket problema para dar seguimiento a la causa raiz y su solución relacionada a los incidentes 50726 y 50651
</t>
  </si>
  <si>
    <t>Acciones ya ejecutadas para estabilizar temporalmente el servicio</t>
  </si>
  <si>
    <t>El principio rector es: "Ningún cambio se ejecuta en producción sin la autorización correspondiente a su nivel de riesgo".</t>
  </si>
  <si>
    <t>Descripción (historial)</t>
  </si>
  <si>
    <t>Tickets Asociados</t>
  </si>
  <si>
    <t>Elmo Fernandez</t>
  </si>
  <si>
    <t>Luis Portilla</t>
  </si>
  <si>
    <t>Se detecto que el aplicativo informe diario no a sido entregado a continuidad operacional mediante el proceso formal establecido,</t>
  </si>
  <si>
    <t xml:space="preserve">Se detecto que el aplicativo informe diario no a sido entregado a continuidad operacional mediante el proceso formal establecido, esta casuística es un problema según los siguientes puntos: 
Con esta información se requirió levantar un ticket problema para poder solventar esta irregularidad. 
Se indico que el informe diario se encuentra divido en 2 partes.La parte de la creación del archivo la cual informan que esta en desarrollo (ambiente y proceso).La parte de la obtención de data y los datos son productivas.El despacho lo tiene como proceso importante (critico) ya que cuando ocurre errores con los recursos (data) es uno de los temas que levantan e incluso han llamado al turno levantando problemas con el envió del archivo.Este archivo generado en la etapa final del aplicativo es enviado de forma interna.Este archivo es publicado para que el publico en general (coordinados en su mayoría) puedan descargarlo.Al no estar entregado a producción, no se tiene el monitoreo de servicio/procesos necesarios para contemplar posibles fallas.
</t>
  </si>
  <si>
    <t>María Cristina Veliz</t>
  </si>
  <si>
    <t>El proveedor Arkho realiza un reproceso del informe diario y, posteriormente, el área DAI ejecuta las acciones pertinentes para disponibilizar el informe.</t>
  </si>
  <si>
    <t xml:space="preserve">01-06-2026 Se crea ticket problema y se envia a Maria Cristina Para realizar seguimiento.  </t>
  </si>
  <si>
    <t>Susana Bobadilla</t>
  </si>
  <si>
    <t>Si tiene</t>
  </si>
  <si>
    <t>No tiene</t>
  </si>
  <si>
    <t>04-06-2026: Se procede a reasignar este ticket al equipo de Aplicaciones Legadas (Daniel), quien logró implementar una solución al ticket de problema. Actualmente, la solución se encuentra en etapa de observación.</t>
  </si>
  <si>
    <t>Propuesta de solución</t>
  </si>
  <si>
    <t>27-05-2026: Se notifica la apertura del ticket de problema a Juan Pablo para que tome conocimiento del caso.
29-05-2026: se envia correo a susana solicitando el desarrollo del punto 3 del formulario de cierre.
04-06-2026 JP indica que el proximo Martes 09 tendran  fecha de entrega de documento</t>
  </si>
  <si>
    <t xml:space="preserve">04-06-2026  JP indica que el proximo Viernes 12 ternima el proceso de analisis por parte de Infraestructura
 </t>
  </si>
  <si>
    <t>26-05-2026 Se envia Correo a JP recordando los casos Vencidos
04-06-2026 problema solucionado ser derivado a Susana para cerrar caso, Compromiso para el Proximo Viernes 19</t>
  </si>
  <si>
    <t xml:space="preserve">26-05-2026 Se envia Correo a JP recordando los casos Vencidos
04-06-2026  Asignar a: Carlos Varas  con causa raiz  pendiente de entrega de info a JP   Compromiso Jueves 11 Proxima semana    </t>
  </si>
  <si>
    <t>26-05-2026 Se envia Correo a JP recordando los casos Vencidos
04-06-2026 problema solucionado ser derivado a  Carlos Varas para cerrar Ticket Problema compromiso para el Proximo Jueves 11</t>
  </si>
  <si>
    <t>26-05-2026 Se envia Correo a JP recordando los casos Vencidos
04-05-2026 JP indica que el proximo Martes 9 fecha de entrega de documento</t>
  </si>
  <si>
    <t>26-05-2026 Se envia Correo a JP recordando los casos Vencidos
04-06-2026 JP indica que el proximo Martes  fecha de entrega de documento</t>
  </si>
  <si>
    <t>26-05-2026 Se envia Correo a JP recordando los casos Vencidos
04-06-2026 Jp para el proximo Jueves 11 estara la solucion del Problema</t>
  </si>
  <si>
    <t>Mario Tapia</t>
  </si>
  <si>
    <t>26-05-2026 Se envia Correo a JP recordando los casos Vencidos
04-06-2026 JP indica que el problema sea solucionado y derivado a Elmo para cerrar el caso con Compromiso para el Proximo Jueves 11</t>
  </si>
  <si>
    <t>04-06-2026  JP indica que el problema solucionado ser derivado a  susana para cerrar caso Compromiso para el Proximo Jueves 11</t>
  </si>
  <si>
    <t xml:space="preserve">19-05-2026  se envia correo a Maria Crisrina para saber el proceder de la solucion del Proveedor EY
26-05-2026 Se reenvia nuevamente cporreo a cristina para saber los pasos a aseguir con este ticket
03-06-2026  Cristina indica que Esto seguirá en análisis de propuesta de solución Revisamos el lunes 01/Junio con usuario y la propuesta no se ajusta del todo a requerimientos funcionales, @Vicente Lucero favor dejar registro en el problema de lo revisado con usuario
</t>
  </si>
  <si>
    <t>Total</t>
  </si>
  <si>
    <t xml:space="preserve">El principio rector es: "Ningún cambio se ejecuta en producción sin la autorización correspondiente </t>
  </si>
  <si>
    <t>🟢 VERDE — Cerrado</t>
  </si>
  <si>
    <r>
      <t>📝</t>
    </r>
    <r>
      <rPr>
        <b/>
        <sz val="11"/>
        <color theme="1"/>
        <rFont val="Calibri"/>
        <family val="2"/>
      </rPr>
      <t xml:space="preserve"> DETALLE DE PROBLEMAS</t>
    </r>
  </si>
  <si>
    <r>
      <t>📊</t>
    </r>
    <r>
      <rPr>
        <b/>
        <sz val="11"/>
        <color theme="1"/>
        <rFont val="Calibri"/>
        <family val="2"/>
      </rPr>
      <t xml:space="preserve"> LEYENDA DEL SEMÁFORO</t>
    </r>
  </si>
  <si>
    <t xml:space="preserve">Descripción:
Se detecta una inconsistencia en la carga y publicación de archivos de programación dentro del sistema de operación real.
El flujo esperado es el siguiente:
Sin embargo, se observa que:
Adicionalmente:
Impacto:
🧾 Ticket de ProblemaEl Departamento de Programación carga la programación base (normalmente el día anterior).El equipo PID (correcciones) actualiza y ajusta la programación durante el día actual.Los archivos se están publicando fuera de orden.En el caso analizado, el archivo de corrección (PID) fue publicado antes que el archivo base.Esto genera inconsistencias en los datos (por ejemplo, valores corregidos aparecen antes que valores iniciales).Existe una restricción técnica entre la 01:00 y las 06:00 am donde ciertas tablas están bloqueadas por mantención.Debido a esto, las publicaciones de PID se retrasan y se procesan desde las 06:00 am.Se detecta que el archivo base, aunque fue cargado el día anterior (18:00 hrs), fue publicado recién a las 09:52 del día siguiente, alterando la secuencia lógica.Datos inconsistentes en la base de datos.Reportes operacionales con valores incorrectos.Confusión en los usuarios finales al interpretar la información.Posibles errores en informes dependientes (ej: reportes diarios).
</t>
  </si>
  <si>
    <t>Jorge Luis Espinoza</t>
  </si>
  <si>
    <t>16/06/2026 11:17:56</t>
  </si>
  <si>
    <t>Marcelo Cifuentes atendido en turno</t>
  </si>
  <si>
    <t>La plataforma de Activos de Transmisión permite la eliminación directa de registros a través de la API, debido a que funcionalmente no se han restringido ni deshabilitado los métodos DELETE. Esto contradice la definición esperada del sistema, donde los activos no deberían eliminarse físicamente, sino mantenerse mediante un estado lógico (por ejemplo, “fuera de operación”). Como resultado, se habilita la eliminación permanente de información crítica sin controles adecuados ni trazabilidad, generando riesgos operacionales y de integridad de datos.</t>
  </si>
  <si>
    <t xml:space="preserve">1. Información general
Se detectó la eliminación de un registro de relé de protección (ID 6057 – “SP S/E PUKARA BT2-S2”) en la base de datos, sin que exista evidencia en los registros de auditoría que permita identificar:
Según el análisis técnico, la eliminación fue realizada mediante la ejecución de una API el día 10 de junio de 2026, pero no quedó registro en la base de datos que permita identificar al responsable.
Además, se constató que el registro sí existía previamente (al menos hasta el 01-06-2026, según respaldo en planilla Excel).
El problema tiene dos dimensiones:
1. Información generalNombre del problema: Eliminación de registros en BD sin trazabilidad ni control funcionalSistema afectado: Plataforma de Activos de Transmisión (BDATx)Ticket origen: 69.575Fecha detección: 15-06-2026Área: Activos de Transmisión / BD / APIs2. Descripción del problemaQuién realizó la acciónCuándo exactamente fue ejecutada (más allá de inferencias)Desde qué mecanismo se originó3. ImpactoPérdida de integridad de datos críticos (activos eléctricos)Imposibilidad de trazabilidad y auditoríaRiesgo alto de eliminación indebida o accidental de informaciónPotencial impacto operacional y regulatorio4. Análisis preliminar (causa probable)
4.1 Falta de control funcionalLa plataforma permite eliminar registros, cuando según definición funcional:❌ No deberían eliminarse✅ Deberían marcarse como “Fuera de operación”4.2 Falta de auditoríaNo existen logs suficientes en BD o en la API para:Registrar usuario ejecutorRegistrar operación DELETEMantener historial (auditoría)
La plataforma de Activos de Transmisión permite la eliminación directa de registros a través de la API, debido a que funcionalmente no se han restringido ni deshabilitado los métodos DELETE. Esto contradice la definición esperada del sistema, donde los activos no deberían eliminarse físicamente, sino mantenerse mediante un estado lógico (por ejemplo, “fuera de operación”). Como resultado, se habilita la eliminación permanente de información crítica sin controles adecuados ni trazabilidad, generando riesgos operacionales y de integridad de datos.
​
</t>
  </si>
  <si>
    <t xml:space="preserve">15-06-2025 Via Teams en grupo de Coordinación DSCO &amp; DAI Hector pacheco solicita crear este ticket ptoblema el cual se le crea y se le avisa
</t>
  </si>
  <si>
    <t>15/06/2026 13:37:21</t>
  </si>
  <si>
    <t xml:space="preserve">Origen: Ticket Incidente N  68.459
Fecha detección: 16-05-2026
Servicio afectado: Opreal – Módulo ingreso de cotas despacho
Ambiente: Producción
Equipo afectado: VM Base de Datos Opreal (IP: 10.0.19.128)
Se detecta una falla en el sistema Opreal que impide el ingreso de cotas en el módulo de despacho, generando error en la aplicación.
La causa raíz corresponde a la caída del motor de base de datos PostgreSQL, provocada por el agotamiento del límite de descriptores de archivos del sistema operativo (“Too many open files”).
Posteriormente, al intentar recuperar el servicio, se identificaron problemas de permisos en el directorio de datos, lo que impidió el arranque del motor por restricciones de seguridad.
📌 Descripción del Problema⚠️ Síntomas ObservadosError en interfaz de usuario al ingresar cotas en OprealBase de datos PostgreSQL caídaError en consola:Error: Too many open filesFallo en reinicio del servicio PostgreSQLLogs indicando:Problemas de permisos en /data/pgsqlRestricción de seguridad que impide el arranque
</t>
  </si>
  <si>
    <t>15-06-2026 Jorge via teams Marcelo, necesito de tu ayuda ... Roberto Moore me declaró en su turno que tuvo que participar de un incidente que se declaro en OPREAL producto de un problema en la máquina a virtual ... este fue el texto que me declaro</t>
  </si>
  <si>
    <t>15/06/2026 13:18:02</t>
  </si>
  <si>
    <t xml:space="preserve">Jorge Espinoza  - Marcelo, necesito de tu ayuda ... Roberto Moore </t>
  </si>
  <si>
    <t>Durante sesión de warroom con equipo DAI, se detecta que el problema se origina por un formato incorrecto en la fecha dentro del archivo TCO.
El sistema requiere que la fecha sea ingresada con separador guion ("-"), sin embargo, el archivo contenía fechas con separador slash ("/").
Ejemplo:
Debido a esto, el sistema rechazaba la carga del archivo.
ANÁLISIS / CAUSA RAÍZ:
Error en el formato de fecha del archivo de carga (dato mal estructurado), lo que provocó incompatibilidad con las validaciones del sistema RIO WEB.
Formato incorrecto: 29/05/2026
Formato correcto: 29-05-2026
Debido a esto, el sistema rechazaba la carga del archivo.</t>
  </si>
  <si>
    <t xml:space="preserve">DETALLE DEL INCIDENTE:Durante sesión de warroom con equipo DAI, se detecta que el problema se origina por un formato incorrecto en la fecha dentro del archivo TCO.
El sistema requiere que la fecha sea ingresada con separador guion ("-"), sin embargo, el archivo contenía fechas con separador slash ("/").
Ejemplo:
Debido a esto, el sistema rechazaba la carga del archivo.
ANÁLISIS / CAUSA RAÍZ:
Error en el formato de fecha del archivo de carga (dato mal estructurado), lo que provocó incompatibilidad con las validaciones del sistema RIO WEB.
Formato incorrecto: 29/05/2026
Formato correcto: 29-05-2026
Debido a esto, el sistema rechazaba la carga del archivo.
</t>
  </si>
  <si>
    <t>15/06/2026 11:47:07</t>
  </si>
  <si>
    <t xml:space="preserve"> Jeronimo Santa Maria Illanes  -  Atendio Pablo Vasquez</t>
  </si>
  <si>
    <t>16/06/2026 16:07:35</t>
  </si>
  <si>
    <t>11/06/2026 18:32:40</t>
  </si>
  <si>
    <t>Indisponibilidad del servicio de almacenamiento NAS-CEN que impide el acceso a la carpeta compartida DAE, afectando a usuarios y procesos operacionales que dependen de esta información.</t>
  </si>
  <si>
    <t xml:space="preserve">​📌 Descripción del   Problema
Se presenta una indisponibilidad del servicio de   almacenamiento compartido provisto por el servidor 
as-cen.coordinadorelectrico.cl,   afectando específicamente el acceso a la carpeta DAE.
Los usuarios no pueden acceder ni visualizar los recursos   almacenados en dicha ubicación, lo que impide la ejecución de procesos críticos   del negocio que dependen de esta información.
El problema se origina desde la capa de almacenamiento,   afectando la disponibilidad de la LUN que soporta el servicio NAS-CEN.
👥 Usuarios Afectados
Usuarios        del departamento que utilizan la carpeta compartida DAEIngenieros        y equipos operativos que dependen de la información alojada en NAS-CENPosible        afectación transversal a otros usuarios con acceso al mismo almacenamiento        compartido
🖥️ Aplicaciones /   Servicios Afectados
Servicio        de archivos NAS-CENCarpeta        compartida: DAEProcesos        operativos del negocio que requieren acceso a archivos almacenados en NAS​​PGP Infotécnica   web
⚠️ Impacto al Negocio
Interrupción        de procesos operacionales diariosImposibilidad        de acceder a información críticaRiesgo        de retrasos en actividades del departamento afectado
📅 Fecha de Inicio
29/05/2026 21:32
</t>
  </si>
  <si>
    <t>.</t>
  </si>
  <si>
    <t xml:space="preserve">10-06-2026   Se crea el problema y este se informa a JP y Susana </t>
  </si>
  <si>
    <t>16/06/2026 16:17:50</t>
  </si>
  <si>
    <t>11/06/2026 18:33:34</t>
  </si>
  <si>
    <t>Daniel Trujillo - Luis Portilla</t>
  </si>
  <si>
    <t>María Cristina Véliz</t>
  </si>
  <si>
    <t>11/06/2026 18:33:33</t>
  </si>
  <si>
    <t>27-05-2026 Se envia Correo de Asignacion a Hector Pacheco
11-06-2026 Jorge indica las nuevas fechas de compromiso via Correo a Marcelo Directamente</t>
  </si>
  <si>
    <t>11/06/2026 18:33:31</t>
  </si>
  <si>
    <t>04-06-2026 Jorge espinoza indica que se está abordando con una posible solución esta semana o más tardar la próxima. 12-06-2026
11-06-2026 Jorge indica las nuevas fechas de compromiso via Correo a Marcelo Directamente</t>
  </si>
  <si>
    <t>16/06/2026 16:07:38</t>
  </si>
  <si>
    <t>11/06/2026 18:33:30</t>
  </si>
  <si>
    <t>11-06-2026 Jorge indica las nuevas fechas de compromiso via Correo a Marcelo Directamente</t>
  </si>
  <si>
    <t>16/06/2026 02:23:48</t>
  </si>
  <si>
    <t>Lentitud en comunicación con AWS al momento de importar datos de CMG desde datalake</t>
  </si>
  <si>
    <t>15/06/2026 13:51:01</t>
  </si>
  <si>
    <t>11/06/2026 18:32:49</t>
  </si>
  <si>
    <t xml:space="preserve">26-05-2026 Matias contesta correo deresolucion del comproimiso
11-06-2026 Jorge indica las nuevas fechas de compromiso via Correo a Marcelo Directamente </t>
  </si>
  <si>
    <t>16/06/2026 16:07:37</t>
  </si>
  <si>
    <t>11/06/2026 18:33:27</t>
  </si>
  <si>
    <t>11/06/2026 18:33:26</t>
  </si>
  <si>
    <t>11/06/2026 18:32:51</t>
  </si>
  <si>
    <t>11/06/2026 18:33:25</t>
  </si>
  <si>
    <t>11/06/2026 18:33:24</t>
  </si>
  <si>
    <t>16/06/2026 02:23:41</t>
  </si>
  <si>
    <t>11/06/2026 18:33:23</t>
  </si>
  <si>
    <t>11/06/2026 18:32:53</t>
  </si>
  <si>
    <t>16/06/2026 02:23:40</t>
  </si>
  <si>
    <t>11/06/2026 18:33:22</t>
  </si>
  <si>
    <t>11/06/2026 18:32:56</t>
  </si>
  <si>
    <t>16/06/2026 02:23:17</t>
  </si>
  <si>
    <t>11/06/2026 18:32:57</t>
  </si>
  <si>
    <t>11/06/2026 18:32:59</t>
  </si>
  <si>
    <t>16/06/2026 02:23:20</t>
  </si>
  <si>
    <t>11/06/2026 18:33:00</t>
  </si>
  <si>
    <t>11/06/2026 18:33:01</t>
  </si>
  <si>
    <t>16/06/2026 16:07:36</t>
  </si>
  <si>
    <t>11/06/2026 18:33:02</t>
  </si>
  <si>
    <t>11/06/2026 18:33:12</t>
  </si>
  <si>
    <t>11/06/2026 18:33:03</t>
  </si>
  <si>
    <t xml:space="preserve">15-05-2026  Se envia correo a Jorge esponoza solicitando la reevaluacion de fecha de compromiso
26-05-2026 Se envia recordatorio a Daniel por analisis solicitado por Jorge
11-06-2026 Jorge indica las nuevas fechas de compromiso via Correo a Marcelo Directamente
</t>
  </si>
  <si>
    <t>11/06/2026 18:33:04</t>
  </si>
  <si>
    <t>11/06/2026 18:33:08</t>
  </si>
  <si>
    <t>11/06/2026 18:33:07</t>
  </si>
  <si>
    <t>11/06/2026 18:33:06</t>
  </si>
  <si>
    <t>11/06/2026 18:33:05</t>
  </si>
  <si>
    <t>17/06/2026 09:02:52</t>
  </si>
  <si>
    <t>17/06/2026 11:14:17</t>
  </si>
  <si>
    <t>17/06/2026 11:12:29</t>
  </si>
  <si>
    <t>17/06/2026 11:13:17</t>
  </si>
  <si>
    <t>17/06/2026 11:14:35</t>
  </si>
  <si>
    <t>17/06/2026 11:15:45</t>
  </si>
  <si>
    <t>17/06/2026 11:14:56</t>
  </si>
  <si>
    <t>17/06/2026 11:16:05</t>
  </si>
  <si>
    <t>17/06/2026 11:13:35</t>
  </si>
  <si>
    <t>Semaforo</t>
  </si>
  <si>
    <t>Jeremmy Vasquez Godoy</t>
  </si>
  <si>
    <t>Ticket abierto por incidentes críticos en estaciones de trabajo tras actualizar de forma no autorizada FortiClient y Forcepoint vía Vicarius, sin pruebas previas ni validación del equipo de Redes. El despliegue afectó la conectividad VPN, corrompió APIs de usuarios e evidenciando la necesidad de robustecer los controles de gobernanza.</t>
  </si>
  <si>
    <t xml:space="preserve">
Contexto del Ticket de Problema
Se genera el presente ticket de problema a raíz de los incidentes identificados durante el despliegue de dos aplicativos de terceros, los cuales presentaron fallas en su implementación en las estaciones de trabajo mediante la herramienta Vicarius.
Existieron despliegues ejecutados sin la debida autorización del área de Redes y despliegue sin realizar pruebas de impacto previas sobre los usuarios del CEN, lo que generó afectaciones en distintos servicios y configuraciones de los equipos.
En este contexto, se establece la necesidad de levantar este problema con el objetivo de identificar brechas en los procedimientos actuales de despliegue, así como definir controles que permitan evitar incidentes similares en el futuro.
Hallazgos detectados
Durante el análisis inicial, se han identificado los siguientes impactos:
Objetivo del ticket
Actualización de Forticlient VPN sin aprobación del equipo de redes, afectando la conectividad de usuarios.Actualizaciones del aplicativo Forcepoint sin pruebas globales de los aplicativos que ocupan los Host. Problemas en APIs de usuarios posteriores a la actualización de Forcepoint.Posible impacto en el funcionamiento de OneDrive, actualmente en proceso de monitoreo para determinar relación directa con los cambios realizados.Determinar la causa raíz de los incidentes.Identificar fallas en el proceso de gestión de cambios y despliegues.Definir e implementar mejoras en los procedimientos (autorizaciones, validaciones, pruebas de impacto).Establecer medidas preventivas que eviten errores no controlados en futuros despliegues.
</t>
  </si>
  <si>
    <t>23-06-2026   se crea ticket problema</t>
  </si>
  <si>
    <t>23/06/2026 18:05:56</t>
  </si>
  <si>
    <t>22/06/2026 23:02:06</t>
  </si>
  <si>
    <t>22/06/2026 21:12:03</t>
  </si>
  <si>
    <t>18/06/2026 10:41:40</t>
  </si>
  <si>
    <t>22-06-2026 21-06-2026 Ocuppe un nuevo P1 que se agrega como ticket relacionado 69817</t>
  </si>
  <si>
    <t>22/06/2026 08:59:33</t>
  </si>
  <si>
    <t>23/06/2026 11:01:22</t>
  </si>
  <si>
    <t>Falla en el aplicativo de Costo Marginal en línea que afectó el cálculo y la visualización de gráficos, generando valores fuera de rango. El problema fue causado por la ingesta de datos. Tras su detección y corrección, se reprocesó exitosamente la información del día, validada por la Gerencia de Mercados. Los gráficos del portal fueron restaurados con normalidad</t>
  </si>
  <si>
    <t>Se realizó una migración de infraestructura que provocó incidentes críticos debido a fallas en el proceso de Gestión de Cambios.
La causa principal fue la falta de evaluación, coordinación y control formal, generando interrupciones y mayores tiempos de recuperación</t>
  </si>
  <si>
    <t>Se detecta una falla en Opreal que impide ingresar cotas debido a la caída de la base de datos PostgreSQL por exceso de archivos abiertos.
El servicio no pudo levantarse inicialmente por problemas de permisos en el directorio de datos, afectando su recuperación.</t>
  </si>
  <si>
    <t>Problema originado por fallas de conexión entre microservicios de Plabacom y la base de datos, evidenciado por errores de timeout en conexiones JDBC (Hikari) en servicios críticos. Se detectó además un truncamiento de datos en inserciones del servicio de reportes y errores 502 en el backend-for-frontend al consumir servicios, reflejando inestabilidad general sin indicios directos de falla de conexión a la BD en este último.</t>
  </si>
  <si>
    <t>Actualizaciones de software de terceros</t>
  </si>
  <si>
    <t>Fecha comprometida</t>
  </si>
  <si>
    <t/>
  </si>
  <si>
    <t>27-07-2026</t>
  </si>
  <si>
    <t>Se detecta un error en la plataforma web del CEN al intentar actualizar la empresa solicitante del proyecto (NUP 4066), quedando el sistema en carga indefinida e impidiendo el cambio.
El problema afecta la gestión de datos, obligando a realizar la actualización de forma manual mediante un workaround técnico.
La causa raíz es una mala configuración en el API Gateway en producción, al desactivar el Proxy de Lambda, lo que provoca fallas en la validación de sesión.</t>
  </si>
  <si>
    <t>Se detectó una anomalía en la Plataforma de Acceso Abierto debido a que el botón 'Enviar/Registrar' permanece activo tras presionarse, permitiendo clics duplicados. Esto genera un envío múltiple de datos al backend que crea registros duplicados de un mismo proyecto (como en los casos Híbrido Longotoma y CRCA Montenegro). La falla afecta la integridad del sistema, obligando a realizar depuraciones manuales y causando confusión en los usuarios externos</t>
  </si>
  <si>
    <t>Se genera ticket 63406 por error que impedía cerrar informes debido a zona horaria no contemplada (límite en 2025), afectando la operación.
Se coordinó revisión con Apps Legadas y se mitigó el problema ajustando el código para incluir 2026, validando que el error desapareció.</t>
  </si>
  <si>
    <t>Se produjo una inconsistencia en la base de datos debido a que los archivos de programación y sus correcciones se publicaron fuera de secuencia. Restricciones del sistema durante un horario de mantenimiento retrasaron la publicación del archivo base inicial, provocando que un archivo de corrección (PID) se procesara primero. Esto invirtió el orden correcto de los datos, dejando los valores fuera de secuencia en el sistema.</t>
  </si>
  <si>
    <t>La plataforma permite eliminar activos directamente por la API al no restringir los métodos DELETE, lo que contradice el diseño esperado.
En lugar de eliminarse, los activos deberían mantenerse con un estado lógico como “fuera de operación”.
Esto genera riesgos al permitir borrado permanente sin controles ni trazabilidad, afectando la integridad de los datos.</t>
  </si>
  <si>
    <t>Implementacion de 
actualizaciones en softare 
de terceros</t>
  </si>
  <si>
    <t>Rojo</t>
  </si>
  <si>
    <t xml:space="preserve">Se genera el presente ticket de problema a raíz de los incidentes identificados durante el despliegue de dos aplicativos de terceros, los cuales presentaron fallas en su implementación en las estaciones de trabajo mediante la herramienta Vicarius.
Existieron despliegues ejecutados sin la debida autorización del área de Redes y despliegue sin realizar pruebas de impacto previas sobre los usuarios del CEN, lo que generó afectaciones en distintos servicios y configuraciones de los equipos.
En este contexto, se establece la necesidad de levantar este problema con el objetivo de identificar brechas en los procedimientos actuales de despliegue, así como definir controles que permitan evitar incidentes similares en el futuro.
Hallazgos detectados
Durante el análisis inicial, se han identificado los siguientes impactos:
Actualización de Forticlient VPN sin aprobación del equipo de redes, afectando la conectividad de usuarios.
Actualizaciones del aplicativo Forcepoint sin pruebas globales de los aplicativos que ocupan los Host. 
Problemas en APIs de usuarios posteriores a la actualización de Forcepoint.
Posible impacto en el funcionamiento de OneDrive, actualmente en proceso de monitoreo para determinar relación directa con los cambios realizados. (Impacto coincide con fechas de deteccion de problemas)
</t>
  </si>
  <si>
    <t>29/06/2026 15:02:06</t>
  </si>
  <si>
    <t>24/06/2026 09:29:12</t>
  </si>
  <si>
    <t>Amarillo</t>
  </si>
  <si>
    <t>La causa raíz es la falta de monitoreo y ajuste preventivo del límite de descriptores de archivos en el sistema operativo, lo que llevó a que PostgreSQL agotara ese límite y se cayera, causando la falla en OPREAL.</t>
  </si>
  <si>
    <t>Se procede a eliminar backup más antiguo para así generar espacio en unidad local del servidor OPREAL de BDD afectado, generando así nuevo espacio y subiendo así el servicio del PostgreSQL.</t>
  </si>
  <si>
    <t>25/06/2026 20:49:25</t>
  </si>
  <si>
    <t>23/06/2026 19:19:05</t>
  </si>
  <si>
    <t>24/06/2026 09:23:00</t>
  </si>
  <si>
    <t>24/06/2026 09:24:31</t>
  </si>
  <si>
    <t>23/06/2026 19:21:45</t>
  </si>
  <si>
    <t>24/06/2026 09:27:40</t>
  </si>
  <si>
    <t>Total general</t>
  </si>
  <si>
    <t>Informe de Novedades</t>
  </si>
  <si>
    <t>Amarillo  (Tiene fecha de Compromiso)</t>
  </si>
  <si>
    <t>Rojo   (No Tiene fecha de Compromiso)</t>
  </si>
  <si>
    <t>📊 PANEL DE CONTROL - SEGUIMIENTO DE PROBLEMAS</t>
  </si>
  <si>
    <t>👤 Problemas por Jefe de Dpto.</t>
  </si>
  <si>
    <t>💻 Problemas por Sistema</t>
  </si>
  <si>
    <t>🔧 Problemas por Tipo</t>
  </si>
  <si>
    <t>🛠️ Problemas por Resolutor</t>
  </si>
  <si>
    <t>⚠️ Workaround</t>
  </si>
  <si>
    <t>🚦 Estado Semáforo</t>
  </si>
  <si>
    <t>CALENDARIO — SEGUIMIENTO DE PROBLEMAS</t>
  </si>
  <si>
    <t>Generado: 30-06-2026  |  Total de Problemas: 46  |  Fuente: Consolidado  V 9.7</t>
  </si>
  <si>
    <t>Sin fecha de compromiso de solución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</si>
</sst>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3" x14ac:knownFonts="1">
    <font>
      <sz val="11"/>
      <color theme="1"/>
      <name val="Aptos Narrow"/>
      <family val="2"/>
      <scheme val="minor"/>
    </font>
    <font>
      <b/>
      <sz val="11"/>
      <color theme="1"/>
      <name val="Aptos Narrow"/>
      <family val="2"/>
      <scheme val="minor"/>
    </font>
    <font>
      <b/>
      <sz val="10"/>
      <color rgb="FFFFFFFF"/>
      <name val="Calibri"/>
      <family val="2"/>
    </font>
    <font>
      <sz val="10"/>
      <color rgb="FF5C4800"/>
      <name val="Calibri"/>
      <family val="2"/>
    </font>
    <font>
      <sz val="10"/>
      <color rgb="FF7A0000"/>
      <name val="Calibri"/>
      <family val="2"/>
    </font>
    <font>
      <sz val="11"/>
      <color theme="1"/>
      <name val="Calibri"/>
      <family val="2"/>
    </font>
    <font>
      <b/>
      <sz val="16"/>
      <color rgb="FFFFFFFF"/>
      <name val="Calibri"/>
      <family val="2"/>
    </font>
    <font>
      <b/>
      <sz val="11"/>
      <color rgb="FF000000"/>
      <name val="Calibri"/>
      <family val="2"/>
    </font>
    <font>
      <b/>
      <sz val="10"/>
      <color rgb="FF7A0000"/>
      <name val="Segoe UI Emoji"/>
      <family val="2"/>
    </font>
    <font>
      <sz val="10"/>
      <color rgb="FF000000"/>
      <name val="Calibri"/>
      <family val="2"/>
    </font>
    <font>
      <b/>
      <sz val="10"/>
      <color rgb="FF5C4800"/>
      <name val="Segoe UI Emoji"/>
      <family val="2"/>
    </font>
    <font>
      <b/>
      <sz val="10"/>
      <color rgb="FF1A5C2A"/>
      <name val="Segoe UI Emoji"/>
      <family val="2"/>
    </font>
    <font>
      <b/>
      <sz val="11"/>
      <color rgb="FFFFFFFF"/>
      <name val="Calibri"/>
      <family val="2"/>
    </font>
    <font>
      <b/>
      <sz val="10"/>
      <color theme="1"/>
      <name val="Calibri"/>
      <family val="2"/>
    </font>
    <font>
      <b/>
      <sz val="11"/>
      <name val="Aptos Narrow"/>
      <family val="2"/>
      <scheme val="minor"/>
    </font>
    <font>
      <sz val="9"/>
      <color theme="1"/>
      <name val="Aptos Narrow"/>
      <family val="2"/>
      <scheme val="minor"/>
    </font>
    <font>
      <sz val="12"/>
      <color rgb="FF000000"/>
      <name val="Calibri"/>
      <family val="2"/>
    </font>
    <font>
      <b/>
      <sz val="12"/>
      <color rgb="FFFFFFFF"/>
      <name val="Segoe UI Emoji"/>
      <family val="2"/>
    </font>
    <font>
      <b/>
      <sz val="12"/>
      <color rgb="FF1B3A5C"/>
      <name val="Segoe UI Emoji"/>
      <family val="2"/>
    </font>
    <font>
      <b/>
      <sz val="11"/>
      <color rgb="FFFF0000"/>
      <name val="Aptos Narrow"/>
      <family val="2"/>
      <scheme val="minor"/>
    </font>
    <font>
      <sz val="8"/>
      <name val="Aptos Narrow"/>
      <family val="2"/>
      <scheme val="minor"/>
    </font>
    <font>
      <b/>
      <sz val="11"/>
      <color theme="1"/>
      <name val="Calibri"/>
      <family val="2"/>
    </font>
    <font>
      <sz val="12"/>
      <color rgb="FFFFFFFF"/>
      <name val="Calibri"/>
      <family val="2"/>
    </font>
    <font>
      <b/>
      <sz val="20"/>
      <color rgb="FFFFFFFF"/>
      <name val="Calibri"/>
      <family val="2"/>
    </font>
    <font>
      <b/>
      <sz val="11"/>
      <color rgb="FFFFFFFF"/>
      <name val="Calibri"/>
      <family val="2"/>
    </font>
    <font>
      <b/>
      <sz val="11"/>
      <color rgb="FFFFFFFF"/>
      <name val="Aptos Narrow"/>
      <family val="2"/>
      <scheme val="minor"/>
    </font>
    <font>
      <b/>
      <sz val="11"/>
      <color theme="0"/>
      <name val="Aptos Narrow"/>
      <family val="2"/>
      <scheme val="minor"/>
    </font>
    <font>
      <b/>
      <sz val="20"/>
      <color rgb="FFFFFFFF"/>
      <name val="Aptos Narrow"/>
      <family val="2"/>
      <scheme val="minor"/>
    </font>
    <font>
      <i/>
      <sz val="11"/>
      <color rgb="FF1F4E79"/>
      <name val="Aptos Narrow"/>
      <family val="2"/>
      <scheme val="minor"/>
    </font>
    <font>
      <b/>
      <sz val="9"/>
      <color theme="1"/>
      <name val="Aptos Narrow"/>
      <family val="2"/>
      <scheme val="minor"/>
    </font>
    <font>
      <sz val="14"/>
      <color rgb="FF1F4E79"/>
      <name val="Aptos Narrow"/>
      <family val="2"/>
      <scheme val="minor"/>
    </font>
    <font>
      <sz val="11"/>
      <color rgb="FFFF0000"/>
      <name val="Aptos Narrow"/>
      <family val="2"/>
      <scheme val="minor"/>
    </font>
    <font>
      <sz val="11"/>
      <color rgb="FFFFFFFF"/>
      <name val="Calibri"/>
      <family val="2"/>
    </font>
  </fonts>
  <fills count="22">
    <fill>
      <patternFill patternType="none"/>
    </fill>
    <fill>
      <patternFill patternType="gray125"/>
    </fill>
    <fill>
      <patternFill patternType="solid">
        <fgColor theme="0"/>
        <bgColor indexed="64"/>
      </patternFill>
    </fill>
    <fill>
      <patternFill patternType="solid">
        <fgColor rgb="FF1F4E79"/>
        <bgColor indexed="64"/>
      </patternFill>
    </fill>
    <fill>
      <patternFill patternType="solid">
        <fgColor rgb="FF2E75B6"/>
        <bgColor indexed="64"/>
      </patternFill>
    </fill>
    <fill>
      <patternFill patternType="solid">
        <fgColor rgb="FFFFFFFF"/>
        <bgColor indexed="64"/>
      </patternFill>
    </fill>
    <fill>
      <patternFill patternType="solid">
        <fgColor rgb="FFFFCCCC"/>
        <bgColor indexed="64"/>
      </patternFill>
    </fill>
    <fill>
      <patternFill patternType="solid">
        <fgColor rgb="FFEBF1FA"/>
        <bgColor indexed="64"/>
      </patternFill>
    </fill>
    <fill>
      <patternFill patternType="solid">
        <fgColor rgb="FFFFFF00"/>
        <bgColor indexed="64"/>
      </patternFill>
    </fill>
    <fill>
      <patternFill patternType="solid">
        <fgColor rgb="FFFF6B6B"/>
        <bgColor indexed="64"/>
      </patternFill>
    </fill>
    <fill>
      <patternFill patternType="solid">
        <fgColor rgb="FFFFD93D"/>
        <bgColor indexed="64"/>
      </patternFill>
    </fill>
    <fill>
      <patternFill patternType="solid">
        <fgColor rgb="FF6BCB77"/>
        <bgColor indexed="64"/>
      </patternFill>
    </fill>
    <fill>
      <patternFill patternType="solid">
        <fgColor rgb="FFD6DCE4"/>
        <bgColor indexed="64"/>
      </patternFill>
    </fill>
    <fill>
      <patternFill patternType="solid">
        <fgColor rgb="FFFFF3CD"/>
        <bgColor indexed="64"/>
      </patternFill>
    </fill>
    <fill>
      <patternFill patternType="solid">
        <fgColor rgb="FFD4EDDA"/>
        <bgColor indexed="64"/>
      </patternFill>
    </fill>
    <fill>
      <patternFill patternType="solid">
        <fgColor rgb="FFF2F2F2"/>
        <bgColor indexed="64"/>
      </patternFill>
    </fill>
    <fill>
      <patternFill patternType="solid">
        <fgColor rgb="FFF8F9FA"/>
        <bgColor indexed="64"/>
      </patternFill>
    </fill>
    <fill>
      <patternFill patternType="solid">
        <fgColor rgb="FFFF0000"/>
        <bgColor indexed="64"/>
      </patternFill>
    </fill>
    <fill>
      <patternFill patternType="solid">
        <fgColor rgb="FFED7D31"/>
        <bgColor indexed="64"/>
      </patternFill>
    </fill>
    <fill>
      <patternFill patternType="solid">
        <fgColor rgb="FFFFE699"/>
        <bgColor indexed="64"/>
      </patternFill>
    </fill>
    <fill>
      <patternFill patternType="solid">
        <fgColor rgb="FFFFCDD2"/>
        <bgColor indexed="64"/>
      </patternFill>
    </fill>
    <fill>
      <patternFill patternType="solid">
        <fgColor rgb="FFD6DCE5"/>
        <bgColor indexed="64"/>
      </patternFill>
    </fill>
  </fills>
  <borders count="72">
    <border>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top style="medium">
        <color indexed="64"/>
      </top>
      <bottom/>
      <diagonal/>
    </border>
    <border>
      <left/>
      <right/>
      <top/>
      <bottom style="medium">
        <color indexed="64"/>
      </bottom>
      <diagonal/>
    </border>
    <border>
      <left style="thin">
        <color rgb="FFB4C6E7"/>
      </left>
      <right style="thin">
        <color rgb="FFB4C6E7"/>
      </right>
      <top style="medium">
        <color indexed="64"/>
      </top>
      <bottom style="thin">
        <color rgb="FFB4C6E7"/>
      </bottom>
      <diagonal/>
    </border>
    <border>
      <left style="thin">
        <color rgb="FFB4C6E7"/>
      </left>
      <right style="medium">
        <color indexed="64"/>
      </right>
      <top style="medium">
        <color indexed="64"/>
      </top>
      <bottom style="thin">
        <color rgb="FFB4C6E7"/>
      </bottom>
      <diagonal/>
    </border>
    <border>
      <left style="medium">
        <color indexed="64"/>
      </left>
      <right/>
      <top style="medium">
        <color indexed="64"/>
      </top>
      <bottom/>
      <diagonal/>
    </border>
    <border>
      <left style="medium">
        <color indexed="64"/>
      </left>
      <right style="thin">
        <color indexed="64"/>
      </right>
      <top style="thin">
        <color rgb="FFD9D9D9"/>
      </top>
      <bottom style="thin">
        <color rgb="FFD9D9D9"/>
      </bottom>
      <diagonal/>
    </border>
    <border>
      <left style="thin">
        <color auto="1"/>
      </left>
      <right style="thin">
        <color auto="1"/>
      </right>
      <top style="thin">
        <color rgb="FFD9D9D9"/>
      </top>
      <bottom style="thin">
        <color rgb="FFD9D9D9"/>
      </bottom>
      <diagonal/>
    </border>
    <border>
      <left style="thin">
        <color indexed="64"/>
      </left>
      <right style="medium">
        <color indexed="64"/>
      </right>
      <top style="thin">
        <color rgb="FFD9D9D9"/>
      </top>
      <bottom style="thin">
        <color rgb="FFD9D9D9"/>
      </bottom>
      <diagonal/>
    </border>
    <border>
      <left/>
      <right/>
      <top style="medium">
        <color rgb="FF1F4E79"/>
      </top>
      <bottom/>
      <diagonal/>
    </border>
    <border>
      <left style="thin">
        <color rgb="FFE0E0E0"/>
      </left>
      <right style="thin">
        <color rgb="FFE0E0E0"/>
      </right>
      <top style="thin">
        <color rgb="FFE0E0E0"/>
      </top>
      <bottom style="thin">
        <color rgb="FFE0E0E0"/>
      </bottom>
      <diagonal/>
    </border>
    <border>
      <left/>
      <right style="medium">
        <color indexed="64"/>
      </right>
      <top/>
      <bottom style="medium">
        <color rgb="FF1F4E79"/>
      </bottom>
      <diagonal/>
    </border>
    <border>
      <left style="medium">
        <color indexed="64"/>
      </left>
      <right style="medium">
        <color indexed="64"/>
      </right>
      <top style="medium">
        <color rgb="FF1F4E79"/>
      </top>
      <bottom/>
      <diagonal/>
    </border>
    <border>
      <left style="medium">
        <color rgb="FF1F4E79"/>
      </left>
      <right/>
      <top/>
      <bottom/>
      <diagonal/>
    </border>
    <border>
      <left/>
      <right style="medium">
        <color rgb="FF1F4E79"/>
      </right>
      <top/>
      <bottom/>
      <diagonal/>
    </border>
    <border>
      <left style="medium">
        <color rgb="FF1F4E79"/>
      </left>
      <right/>
      <top style="thin">
        <color rgb="FFD9D9D9"/>
      </top>
      <bottom style="thin">
        <color rgb="FFD9D9D9"/>
      </bottom>
      <diagonal/>
    </border>
    <border>
      <left style="medium">
        <color rgb="FF1F4E79"/>
      </left>
      <right/>
      <top/>
      <bottom style="medium">
        <color rgb="FF1F4E79"/>
      </bottom>
      <diagonal/>
    </border>
    <border>
      <left/>
      <right style="medium">
        <color rgb="FF1F4E79"/>
      </right>
      <top style="thin">
        <color rgb="FFD9D9D9"/>
      </top>
      <bottom style="thin">
        <color rgb="FFD9D9D9"/>
      </bottom>
      <diagonal/>
    </border>
    <border>
      <left/>
      <right style="medium">
        <color rgb="FF1F4E79"/>
      </right>
      <top/>
      <bottom style="medium">
        <color rgb="FF1F4E79"/>
      </bottom>
      <diagonal/>
    </border>
    <border>
      <left/>
      <right/>
      <top style="thin">
        <color indexed="64"/>
      </top>
      <bottom style="thin">
        <color indexed="64"/>
      </bottom>
      <diagonal/>
    </border>
    <border>
      <left style="thin">
        <color rgb="FFE0E0E0"/>
      </left>
      <right style="thin">
        <color rgb="FFE0E0E0"/>
      </right>
      <top/>
      <bottom style="thin">
        <color rgb="FFE0E0E0"/>
      </bottom>
      <diagonal/>
    </border>
    <border>
      <left style="medium">
        <color indexed="64"/>
      </left>
      <right/>
      <top/>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style="medium">
        <color indexed="64"/>
      </top>
      <bottom/>
      <diagonal/>
    </border>
    <border>
      <left style="medium">
        <color indexed="64"/>
      </left>
      <right/>
      <top style="medium">
        <color rgb="FF1F4E79"/>
      </top>
      <bottom/>
      <diagonal/>
    </border>
    <border>
      <left/>
      <right style="medium">
        <color indexed="64"/>
      </right>
      <top style="medium">
        <color rgb="FF1F4E79"/>
      </top>
      <bottom/>
      <diagonal/>
    </border>
    <border>
      <left style="medium">
        <color indexed="64"/>
      </left>
      <right style="thin">
        <color rgb="FFE0E0E0"/>
      </right>
      <top style="thin">
        <color rgb="FFE0E0E0"/>
      </top>
      <bottom style="thin">
        <color rgb="FFE0E0E0"/>
      </bottom>
      <diagonal/>
    </border>
    <border>
      <left style="thin">
        <color rgb="FFE0E0E0"/>
      </left>
      <right style="medium">
        <color indexed="64"/>
      </right>
      <top/>
      <bottom style="thin">
        <color rgb="FFE0E0E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auto="1"/>
      </bottom>
      <diagonal/>
    </border>
    <border>
      <left style="medium">
        <color indexed="64"/>
      </left>
      <right/>
      <top style="thin">
        <color rgb="FFE0E0E0"/>
      </top>
      <bottom/>
      <diagonal/>
    </border>
    <border>
      <left style="thin">
        <color auto="1"/>
      </left>
      <right/>
      <top style="thin">
        <color auto="1"/>
      </top>
      <bottom/>
      <diagonal/>
    </border>
    <border>
      <left style="medium">
        <color indexed="64"/>
      </left>
      <right/>
      <top style="thin">
        <color rgb="FFE0E0E0"/>
      </top>
      <bottom style="thin">
        <color indexed="64"/>
      </bottom>
      <diagonal/>
    </border>
    <border>
      <left style="medium">
        <color rgb="FF1F4E79"/>
      </left>
      <right style="thin">
        <color auto="1"/>
      </right>
      <top style="medium">
        <color rgb="FF1F4E79"/>
      </top>
      <bottom/>
      <diagonal/>
    </border>
    <border>
      <left style="medium">
        <color rgb="FF1F4E79"/>
      </left>
      <right style="thin">
        <color auto="1"/>
      </right>
      <top style="thin">
        <color indexed="64"/>
      </top>
      <bottom style="thin">
        <color indexed="64"/>
      </bottom>
      <diagonal/>
    </border>
    <border>
      <left style="medium">
        <color rgb="FF1F4E79"/>
      </left>
      <right style="thin">
        <color auto="1"/>
      </right>
      <top style="thin">
        <color indexed="64"/>
      </top>
      <bottom style="thin">
        <color rgb="FFD0D0D0"/>
      </bottom>
      <diagonal/>
    </border>
    <border>
      <left style="medium">
        <color rgb="FF1F4E79"/>
      </left>
      <right style="thin">
        <color auto="1"/>
      </right>
      <top/>
      <bottom style="medium">
        <color rgb="FF1F4E79"/>
      </bottom>
      <diagonal/>
    </border>
    <border>
      <left style="thin">
        <color auto="1"/>
      </left>
      <right style="medium">
        <color rgb="FF1F4E79"/>
      </right>
      <top style="medium">
        <color rgb="FF1F4E79"/>
      </top>
      <bottom/>
      <diagonal/>
    </border>
    <border>
      <left style="thin">
        <color auto="1"/>
      </left>
      <right style="medium">
        <color rgb="FF1F4E79"/>
      </right>
      <top style="thin">
        <color indexed="64"/>
      </top>
      <bottom style="thin">
        <color indexed="64"/>
      </bottom>
      <diagonal/>
    </border>
    <border>
      <left style="thin">
        <color auto="1"/>
      </left>
      <right style="medium">
        <color rgb="FF1F4E79"/>
      </right>
      <top style="thin">
        <color indexed="64"/>
      </top>
      <bottom style="thin">
        <color rgb="FFD0D0D0"/>
      </bottom>
      <diagonal/>
    </border>
    <border>
      <left style="thin">
        <color auto="1"/>
      </left>
      <right style="medium">
        <color rgb="FF1F4E79"/>
      </right>
      <top/>
      <bottom style="medium">
        <color rgb="FF1F4E79"/>
      </bottom>
      <diagonal/>
    </border>
    <border>
      <left style="medium">
        <color rgb="FF1F4E79"/>
      </left>
      <right style="thin">
        <color auto="1"/>
      </right>
      <top style="medium">
        <color rgb="FF1F4E79"/>
      </top>
      <bottom style="thin">
        <color auto="1"/>
      </bottom>
      <diagonal/>
    </border>
    <border>
      <left style="medium">
        <color rgb="FF1F4E79"/>
      </left>
      <right style="thin">
        <color auto="1"/>
      </right>
      <top style="thin">
        <color auto="1"/>
      </top>
      <bottom style="medium">
        <color rgb="FF1F4E79"/>
      </bottom>
      <diagonal/>
    </border>
    <border>
      <left style="thin">
        <color auto="1"/>
      </left>
      <right style="medium">
        <color rgb="FF1F4E79"/>
      </right>
      <top style="medium">
        <color rgb="FF1F4E79"/>
      </top>
      <bottom style="thin">
        <color auto="1"/>
      </bottom>
      <diagonal/>
    </border>
    <border>
      <left style="thin">
        <color auto="1"/>
      </left>
      <right style="medium">
        <color rgb="FF1F4E79"/>
      </right>
      <top style="thin">
        <color auto="1"/>
      </top>
      <bottom style="medium">
        <color rgb="FF1F4E79"/>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thin">
        <color rgb="FFB4C6E7"/>
      </left>
      <right style="thin">
        <color rgb="FFB4C6E7"/>
      </right>
      <top/>
      <bottom style="thin">
        <color rgb="FFB4C6E7"/>
      </bottom>
      <diagonal/>
    </border>
    <border>
      <left style="thin">
        <color rgb="FFB4C6E7"/>
      </left>
      <right style="medium">
        <color indexed="64"/>
      </right>
      <top/>
      <bottom style="thin">
        <color rgb="FFB4C6E7"/>
      </bottom>
      <diagonal/>
    </border>
    <border>
      <left style="medium">
        <color indexed="64"/>
      </left>
      <right style="thin">
        <color rgb="FFE0E0E0"/>
      </right>
      <top style="thin">
        <color rgb="FFE0E0E0"/>
      </top>
      <bottom/>
      <diagonal/>
    </border>
    <border>
      <left/>
      <right style="thin">
        <color auto="1"/>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rgb="FFE0E0E0"/>
      </right>
      <top style="thin">
        <color rgb="FFE0E0E0"/>
      </top>
      <bottom style="medium">
        <color indexed="64"/>
      </bottom>
      <diagonal/>
    </border>
    <border>
      <left style="thin">
        <color rgb="FFE0E0E0"/>
      </left>
      <right style="thin">
        <color rgb="FFE0E0E0"/>
      </right>
      <top style="thin">
        <color rgb="FFE0E0E0"/>
      </top>
      <bottom style="medium">
        <color indexed="64"/>
      </bottom>
      <diagonal/>
    </border>
    <border>
      <left style="thin">
        <color rgb="FFE0E0E0"/>
      </left>
      <right style="thin">
        <color rgb="FFE0E0E0"/>
      </right>
      <top/>
      <bottom style="medium">
        <color indexed="64"/>
      </bottom>
      <diagonal/>
    </border>
    <border>
      <left style="thin">
        <color rgb="FFE0E0E0"/>
      </left>
      <right style="medium">
        <color indexed="64"/>
      </right>
      <top style="thin">
        <color rgb="FFE0E0E0"/>
      </top>
      <bottom style="medium">
        <color indexed="64"/>
      </bottom>
      <diagonal/>
    </border>
  </borders>
  <cellStyleXfs count="1">
    <xf numFmtId="0" fontId="0" fillId="0" borderId="0"/>
  </cellStyleXfs>
  <cellXfs count="179">
    <xf numFmtId="0" fontId="0" fillId="0" borderId="0" xfId="0"/>
    <xf numFmtId="0" fontId="5" fillId="0" borderId="0" xfId="0" applyFont="1" applyAlignment="1">
      <alignment vertical="center"/>
    </xf>
    <xf numFmtId="0" fontId="0" fillId="0" borderId="10" xfId="0" applyBorder="1"/>
    <xf numFmtId="0" fontId="0" fillId="0" borderId="0" xfId="0" applyAlignment="1">
      <alignment horizontal="center"/>
    </xf>
    <xf numFmtId="0" fontId="0" fillId="0" borderId="0" xfId="0" applyAlignment="1">
      <alignment horizontal="left"/>
    </xf>
    <xf numFmtId="14" fontId="0" fillId="0" borderId="0" xfId="0" applyNumberFormat="1"/>
    <xf numFmtId="0" fontId="15" fillId="0" borderId="0" xfId="0" applyFont="1"/>
    <xf numFmtId="0" fontId="15" fillId="0" borderId="0" xfId="0" applyFont="1" applyAlignment="1">
      <alignment horizontal="left"/>
    </xf>
    <xf numFmtId="0" fontId="0" fillId="0" borderId="10" xfId="0" applyBorder="1" applyAlignment="1">
      <alignment horizontal="left"/>
    </xf>
    <xf numFmtId="0" fontId="9" fillId="15" borderId="14" xfId="0" applyFont="1" applyFill="1" applyBorder="1" applyAlignment="1">
      <alignment horizontal="center" vertical="center" wrapText="1"/>
    </xf>
    <xf numFmtId="0" fontId="9" fillId="15" borderId="15" xfId="0" applyFont="1" applyFill="1" applyBorder="1" applyAlignment="1">
      <alignment horizontal="center" vertical="center" wrapText="1"/>
    </xf>
    <xf numFmtId="0" fontId="9" fillId="15" borderId="16" xfId="0" applyFont="1" applyFill="1" applyBorder="1" applyAlignment="1">
      <alignment horizontal="center" vertical="center" wrapText="1"/>
    </xf>
    <xf numFmtId="0" fontId="3" fillId="5" borderId="18" xfId="0" applyFont="1" applyFill="1" applyBorder="1" applyAlignment="1">
      <alignment horizontal="center" vertical="center" wrapText="1"/>
    </xf>
    <xf numFmtId="0" fontId="4" fillId="7" borderId="18" xfId="0" applyFont="1" applyFill="1" applyBorder="1" applyAlignment="1">
      <alignment horizontal="center" vertical="center" wrapText="1"/>
    </xf>
    <xf numFmtId="0" fontId="12" fillId="3" borderId="20" xfId="0" applyFont="1" applyFill="1" applyBorder="1" applyAlignment="1">
      <alignment horizontal="center" vertical="center" wrapText="1"/>
    </xf>
    <xf numFmtId="0" fontId="2" fillId="3" borderId="19" xfId="0" applyFont="1" applyFill="1" applyBorder="1" applyAlignment="1">
      <alignment horizontal="center" vertical="center" wrapText="1"/>
    </xf>
    <xf numFmtId="0" fontId="2" fillId="3" borderId="24" xfId="0" applyFont="1" applyFill="1" applyBorder="1" applyAlignment="1">
      <alignment horizontal="center" vertical="center" wrapText="1"/>
    </xf>
    <xf numFmtId="14" fontId="0" fillId="16" borderId="18" xfId="0" applyNumberFormat="1" applyFill="1" applyBorder="1" applyAlignment="1">
      <alignment horizontal="center"/>
    </xf>
    <xf numFmtId="0" fontId="2" fillId="3" borderId="4" xfId="0" applyFont="1" applyFill="1" applyBorder="1" applyAlignment="1">
      <alignment horizontal="center" vertical="center" wrapText="1"/>
    </xf>
    <xf numFmtId="0" fontId="14" fillId="8" borderId="11" xfId="0" applyFont="1" applyFill="1" applyBorder="1" applyAlignment="1">
      <alignment horizontal="center" vertical="center" wrapText="1"/>
    </xf>
    <xf numFmtId="0" fontId="14" fillId="8" borderId="12" xfId="0" applyFont="1" applyFill="1" applyBorder="1" applyAlignment="1">
      <alignment horizontal="center" vertical="center" wrapText="1"/>
    </xf>
    <xf numFmtId="0" fontId="0" fillId="16" borderId="3" xfId="0" applyFill="1" applyBorder="1" applyAlignment="1">
      <alignment horizontal="left"/>
    </xf>
    <xf numFmtId="0" fontId="0" fillId="7" borderId="3" xfId="0" applyFill="1" applyBorder="1" applyAlignment="1">
      <alignment horizontal="left"/>
    </xf>
    <xf numFmtId="0" fontId="3" fillId="16" borderId="28" xfId="0" applyFont="1" applyFill="1" applyBorder="1" applyAlignment="1">
      <alignment horizontal="center" vertical="center" wrapText="1"/>
    </xf>
    <xf numFmtId="0" fontId="1" fillId="7" borderId="1" xfId="0" applyFont="1" applyFill="1" applyBorder="1" applyAlignment="1">
      <alignment horizontal="center"/>
    </xf>
    <xf numFmtId="0" fontId="1" fillId="16" borderId="1" xfId="0" applyFont="1" applyFill="1" applyBorder="1" applyAlignment="1">
      <alignment horizontal="center"/>
    </xf>
    <xf numFmtId="1" fontId="0" fillId="0" borderId="0" xfId="0" applyNumberFormat="1" applyAlignment="1">
      <alignment horizontal="left"/>
    </xf>
    <xf numFmtId="0" fontId="0" fillId="16" borderId="28" xfId="0" applyFill="1" applyBorder="1" applyAlignment="1">
      <alignment horizontal="center" vertical="center"/>
    </xf>
    <xf numFmtId="1" fontId="0" fillId="0" borderId="0" xfId="0" applyNumberFormat="1"/>
    <xf numFmtId="0" fontId="12" fillId="3" borderId="3" xfId="0" applyFont="1" applyFill="1" applyBorder="1" applyAlignment="1">
      <alignment horizontal="center" vertical="center" wrapText="1"/>
    </xf>
    <xf numFmtId="0" fontId="3" fillId="5" borderId="28" xfId="0" applyFont="1" applyFill="1" applyBorder="1" applyAlignment="1">
      <alignment horizontal="center" vertical="center" wrapText="1"/>
    </xf>
    <xf numFmtId="0" fontId="1" fillId="16" borderId="35" xfId="0" applyFont="1" applyFill="1" applyBorder="1" applyAlignment="1">
      <alignment horizontal="center" vertical="center"/>
    </xf>
    <xf numFmtId="14" fontId="0" fillId="0" borderId="0" xfId="0" applyNumberFormat="1" applyAlignment="1">
      <alignment horizontal="center"/>
    </xf>
    <xf numFmtId="14" fontId="12" fillId="3" borderId="22" xfId="0" applyNumberFormat="1" applyFont="1" applyFill="1" applyBorder="1" applyAlignment="1">
      <alignment horizontal="center" vertical="center" wrapText="1"/>
    </xf>
    <xf numFmtId="1" fontId="9" fillId="15" borderId="25" xfId="0" applyNumberFormat="1" applyFont="1" applyFill="1" applyBorder="1" applyAlignment="1">
      <alignment horizontal="center" vertical="center" wrapText="1"/>
    </xf>
    <xf numFmtId="1" fontId="2" fillId="3" borderId="26" xfId="0" applyNumberFormat="1" applyFont="1" applyFill="1" applyBorder="1" applyAlignment="1">
      <alignment horizontal="center" vertical="center" wrapText="1"/>
    </xf>
    <xf numFmtId="14" fontId="12" fillId="3" borderId="3" xfId="0" applyNumberFormat="1" applyFont="1" applyFill="1" applyBorder="1" applyAlignment="1">
      <alignment horizontal="center" vertical="center" wrapText="1"/>
    </xf>
    <xf numFmtId="0" fontId="5" fillId="0" borderId="0" xfId="0" applyFont="1" applyAlignment="1">
      <alignment horizontal="center" vertical="center"/>
    </xf>
    <xf numFmtId="0" fontId="0" fillId="0" borderId="0" xfId="0" applyAlignment="1">
      <alignment horizontal="center" vertical="center"/>
    </xf>
    <xf numFmtId="0" fontId="0" fillId="16" borderId="36" xfId="0" applyFill="1" applyBorder="1" applyAlignment="1">
      <alignment horizontal="left" vertical="center" wrapText="1"/>
    </xf>
    <xf numFmtId="164" fontId="0" fillId="0" borderId="0" xfId="0" applyNumberFormat="1" applyAlignment="1">
      <alignment horizontal="center" vertical="center"/>
    </xf>
    <xf numFmtId="1" fontId="0" fillId="16" borderId="28" xfId="0" applyNumberFormat="1" applyFill="1" applyBorder="1" applyAlignment="1">
      <alignment horizontal="center" vertical="center"/>
    </xf>
    <xf numFmtId="0" fontId="0" fillId="16" borderId="28" xfId="0" applyFill="1" applyBorder="1" applyAlignment="1">
      <alignment horizontal="left" vertical="center"/>
    </xf>
    <xf numFmtId="0" fontId="0" fillId="16" borderId="28" xfId="0" applyFill="1" applyBorder="1" applyAlignment="1">
      <alignment horizontal="left" vertical="center" wrapText="1"/>
    </xf>
    <xf numFmtId="0" fontId="0" fillId="0" borderId="3" xfId="0" applyBorder="1" applyAlignment="1">
      <alignment horizontal="center" vertical="center"/>
    </xf>
    <xf numFmtId="0" fontId="0" fillId="0" borderId="2" xfId="0" applyBorder="1" applyAlignment="1">
      <alignment horizontal="center" vertical="center"/>
    </xf>
    <xf numFmtId="0" fontId="15" fillId="0" borderId="0" xfId="0" applyFont="1" applyAlignment="1">
      <alignment horizontal="center" vertical="center"/>
    </xf>
    <xf numFmtId="0" fontId="0" fillId="16" borderId="3" xfId="0" applyFill="1" applyBorder="1" applyAlignment="1">
      <alignment horizontal="left" vertical="center"/>
    </xf>
    <xf numFmtId="0" fontId="19" fillId="2" borderId="3" xfId="0" applyFont="1" applyFill="1" applyBorder="1" applyAlignment="1">
      <alignment horizontal="center" vertical="center"/>
    </xf>
    <xf numFmtId="0" fontId="0" fillId="0" borderId="3" xfId="0" applyBorder="1" applyAlignment="1">
      <alignment vertical="center"/>
    </xf>
    <xf numFmtId="0" fontId="0" fillId="0" borderId="37" xfId="0" applyBorder="1" applyAlignment="1">
      <alignment horizontal="center" vertical="center"/>
    </xf>
    <xf numFmtId="0" fontId="1" fillId="2" borderId="3" xfId="0" applyFont="1" applyFill="1" applyBorder="1" applyAlignment="1">
      <alignment horizontal="center" vertical="center"/>
    </xf>
    <xf numFmtId="0" fontId="1" fillId="16" borderId="42" xfId="0" applyFont="1" applyFill="1" applyBorder="1" applyAlignment="1">
      <alignment horizontal="center" vertical="center"/>
    </xf>
    <xf numFmtId="0" fontId="1" fillId="16" borderId="44" xfId="0" applyFont="1" applyFill="1" applyBorder="1" applyAlignment="1">
      <alignment horizontal="center" vertical="center"/>
    </xf>
    <xf numFmtId="14" fontId="19" fillId="16" borderId="3" xfId="0" applyNumberFormat="1" applyFont="1" applyFill="1" applyBorder="1" applyAlignment="1">
      <alignment horizontal="left" vertical="center"/>
    </xf>
    <xf numFmtId="0" fontId="0" fillId="0" borderId="3" xfId="0" applyBorder="1" applyAlignment="1">
      <alignment horizontal="left" vertical="center"/>
    </xf>
    <xf numFmtId="0" fontId="19" fillId="2" borderId="3" xfId="0" applyFont="1" applyFill="1" applyBorder="1" applyAlignment="1">
      <alignment horizontal="left" vertical="center"/>
    </xf>
    <xf numFmtId="0" fontId="0" fillId="0" borderId="2" xfId="0" applyBorder="1" applyAlignment="1">
      <alignment horizontal="left" vertical="center"/>
    </xf>
    <xf numFmtId="0" fontId="12" fillId="3" borderId="21" xfId="0" applyFont="1" applyFill="1" applyBorder="1" applyAlignment="1">
      <alignment horizontal="left" vertical="center" wrapText="1"/>
    </xf>
    <xf numFmtId="0" fontId="13" fillId="15" borderId="23" xfId="0" applyFont="1" applyFill="1" applyBorder="1" applyAlignment="1">
      <alignment horizontal="left" vertical="center" wrapText="1"/>
    </xf>
    <xf numFmtId="0" fontId="0" fillId="0" borderId="0" xfId="0" applyAlignment="1">
      <alignment horizontal="left" indent="1"/>
    </xf>
    <xf numFmtId="0" fontId="0" fillId="5" borderId="0" xfId="0" applyFill="1"/>
    <xf numFmtId="1" fontId="0" fillId="15" borderId="50" xfId="0" applyNumberFormat="1" applyFill="1" applyBorder="1" applyAlignment="1">
      <alignment horizontal="right"/>
    </xf>
    <xf numFmtId="1" fontId="0" fillId="15" borderId="51" xfId="0" applyNumberFormat="1" applyFill="1" applyBorder="1" applyAlignment="1">
      <alignment horizontal="right"/>
    </xf>
    <xf numFmtId="1" fontId="25" fillId="18" borderId="52" xfId="0" applyNumberFormat="1" applyFont="1" applyFill="1" applyBorder="1" applyAlignment="1">
      <alignment horizontal="right"/>
    </xf>
    <xf numFmtId="1" fontId="0" fillId="0" borderId="0" xfId="0" applyNumberFormat="1" applyAlignment="1">
      <alignment horizontal="right"/>
    </xf>
    <xf numFmtId="1" fontId="25" fillId="18" borderId="56" xfId="0" applyNumberFormat="1" applyFont="1" applyFill="1" applyBorder="1" applyAlignment="1">
      <alignment horizontal="right"/>
    </xf>
    <xf numFmtId="1" fontId="1" fillId="19" borderId="50" xfId="0" applyNumberFormat="1" applyFont="1" applyFill="1" applyBorder="1" applyAlignment="1">
      <alignment horizontal="right"/>
    </xf>
    <xf numFmtId="1" fontId="1" fillId="20" borderId="50" xfId="0" applyNumberFormat="1" applyFont="1" applyFill="1" applyBorder="1" applyAlignment="1">
      <alignment horizontal="right"/>
    </xf>
    <xf numFmtId="0" fontId="0" fillId="15" borderId="46" xfId="0" applyFill="1" applyBorder="1" applyAlignment="1">
      <alignment horizontal="left" indent="1"/>
    </xf>
    <xf numFmtId="0" fontId="0" fillId="15" borderId="47" xfId="0" applyFill="1" applyBorder="1" applyAlignment="1">
      <alignment horizontal="left" indent="1"/>
    </xf>
    <xf numFmtId="0" fontId="25" fillId="18" borderId="48" xfId="0" applyFont="1" applyFill="1" applyBorder="1" applyAlignment="1">
      <alignment horizontal="left" indent="1"/>
    </xf>
    <xf numFmtId="0" fontId="25" fillId="18" borderId="54" xfId="0" applyFont="1" applyFill="1" applyBorder="1" applyAlignment="1">
      <alignment horizontal="left" indent="1"/>
    </xf>
    <xf numFmtId="0" fontId="1" fillId="19" borderId="46" xfId="0" applyFont="1" applyFill="1" applyBorder="1" applyAlignment="1">
      <alignment horizontal="left" indent="1"/>
    </xf>
    <xf numFmtId="0" fontId="1" fillId="20" borderId="46" xfId="0" applyFont="1" applyFill="1" applyBorder="1" applyAlignment="1">
      <alignment horizontal="left" indent="1"/>
    </xf>
    <xf numFmtId="0" fontId="29" fillId="0" borderId="0" xfId="0" applyFont="1" applyAlignment="1">
      <alignment horizontal="center"/>
    </xf>
    <xf numFmtId="0" fontId="12" fillId="3" borderId="20" xfId="0" applyFont="1" applyFill="1" applyBorder="1" applyAlignment="1">
      <alignment vertical="center" wrapText="1"/>
    </xf>
    <xf numFmtId="0" fontId="26" fillId="17" borderId="43" xfId="0" applyFont="1" applyFill="1" applyBorder="1"/>
    <xf numFmtId="0" fontId="0" fillId="2" borderId="43" xfId="0" applyFill="1" applyBorder="1"/>
    <xf numFmtId="0" fontId="0" fillId="2" borderId="38" xfId="0" applyFill="1" applyBorder="1"/>
    <xf numFmtId="0" fontId="0" fillId="7" borderId="3" xfId="0" applyFill="1" applyBorder="1"/>
    <xf numFmtId="0" fontId="0" fillId="16" borderId="3" xfId="0" applyFill="1" applyBorder="1"/>
    <xf numFmtId="0" fontId="32" fillId="3" borderId="20" xfId="0" applyFont="1" applyFill="1" applyBorder="1" applyAlignment="1">
      <alignment horizontal="left" vertical="center" wrapText="1"/>
    </xf>
    <xf numFmtId="14" fontId="0" fillId="16" borderId="3" xfId="0" applyNumberFormat="1" applyFill="1" applyBorder="1" applyAlignment="1">
      <alignment horizontal="left" vertical="center"/>
    </xf>
    <xf numFmtId="14" fontId="31" fillId="16" borderId="3" xfId="0" applyNumberFormat="1" applyFont="1" applyFill="1" applyBorder="1" applyAlignment="1">
      <alignment horizontal="left" vertical="center"/>
    </xf>
    <xf numFmtId="14" fontId="0" fillId="0" borderId="3" xfId="0" applyNumberFormat="1" applyBorder="1" applyAlignment="1">
      <alignment horizontal="left" vertical="center"/>
    </xf>
    <xf numFmtId="0" fontId="1" fillId="0" borderId="3" xfId="0" applyFont="1" applyBorder="1" applyAlignment="1">
      <alignment horizontal="left" vertical="center"/>
    </xf>
    <xf numFmtId="0" fontId="1" fillId="16" borderId="57" xfId="0" applyFont="1" applyFill="1" applyBorder="1" applyAlignment="1">
      <alignment horizontal="center"/>
    </xf>
    <xf numFmtId="0" fontId="0" fillId="16" borderId="58" xfId="0" applyFill="1" applyBorder="1"/>
    <xf numFmtId="0" fontId="0" fillId="16" borderId="58" xfId="0" applyFill="1" applyBorder="1" applyAlignment="1">
      <alignment horizontal="left"/>
    </xf>
    <xf numFmtId="14" fontId="0" fillId="16" borderId="58" xfId="0" applyNumberFormat="1" applyFill="1" applyBorder="1" applyAlignment="1">
      <alignment horizontal="left" vertical="center"/>
    </xf>
    <xf numFmtId="0" fontId="0" fillId="0" borderId="58" xfId="0" applyBorder="1" applyAlignment="1">
      <alignment horizontal="center" vertical="center"/>
    </xf>
    <xf numFmtId="0" fontId="0" fillId="0" borderId="59" xfId="0" applyBorder="1" applyAlignment="1">
      <alignment horizontal="center" vertical="center"/>
    </xf>
    <xf numFmtId="0" fontId="12" fillId="3" borderId="60" xfId="0" applyFont="1" applyFill="1" applyBorder="1" applyAlignment="1">
      <alignment horizontal="center" vertical="center" wrapText="1"/>
    </xf>
    <xf numFmtId="0" fontId="12" fillId="3" borderId="60" xfId="0" applyFont="1" applyFill="1" applyBorder="1" applyAlignment="1">
      <alignment vertical="center" wrapText="1"/>
    </xf>
    <xf numFmtId="0" fontId="32" fillId="3" borderId="60" xfId="0" applyFont="1" applyFill="1" applyBorder="1" applyAlignment="1">
      <alignment horizontal="left" vertical="center" wrapText="1"/>
    </xf>
    <xf numFmtId="0" fontId="14" fillId="8" borderId="61" xfId="0" applyFont="1" applyFill="1" applyBorder="1" applyAlignment="1">
      <alignment horizontal="center" vertical="center" wrapText="1"/>
    </xf>
    <xf numFmtId="0" fontId="14" fillId="8" borderId="62" xfId="0" applyFont="1" applyFill="1" applyBorder="1" applyAlignment="1">
      <alignment horizontal="center" vertical="center" wrapText="1"/>
    </xf>
    <xf numFmtId="0" fontId="1" fillId="16" borderId="63" xfId="0" applyFont="1" applyFill="1" applyBorder="1" applyAlignment="1">
      <alignment horizontal="center" vertical="center"/>
    </xf>
    <xf numFmtId="0" fontId="0" fillId="7" borderId="58" xfId="0" applyFill="1" applyBorder="1"/>
    <xf numFmtId="0" fontId="0" fillId="0" borderId="58" xfId="0" applyBorder="1" applyAlignment="1">
      <alignment vertical="center"/>
    </xf>
    <xf numFmtId="0" fontId="0" fillId="0" borderId="64" xfId="0" applyBorder="1" applyAlignment="1">
      <alignment horizontal="center" vertical="center"/>
    </xf>
    <xf numFmtId="14" fontId="0" fillId="0" borderId="0" xfId="0" applyNumberFormat="1" applyAlignment="1">
      <alignment horizontal="left"/>
    </xf>
    <xf numFmtId="14" fontId="0" fillId="0" borderId="10" xfId="0" applyNumberFormat="1" applyBorder="1" applyAlignment="1">
      <alignment horizontal="left"/>
    </xf>
    <xf numFmtId="14" fontId="12" fillId="3" borderId="3" xfId="0" applyNumberFormat="1" applyFont="1" applyFill="1" applyBorder="1" applyAlignment="1">
      <alignment horizontal="left" vertical="center" wrapText="1"/>
    </xf>
    <xf numFmtId="14" fontId="0" fillId="16" borderId="28" xfId="0" applyNumberFormat="1" applyFill="1" applyBorder="1" applyAlignment="1">
      <alignment horizontal="left" vertical="center"/>
    </xf>
    <xf numFmtId="0" fontId="12" fillId="3" borderId="65" xfId="0" applyFont="1" applyFill="1" applyBorder="1" applyAlignment="1">
      <alignment horizontal="center" vertical="center" wrapText="1"/>
    </xf>
    <xf numFmtId="0" fontId="12" fillId="3" borderId="66" xfId="0" applyFont="1" applyFill="1" applyBorder="1" applyAlignment="1">
      <alignment horizontal="center" vertical="center" wrapText="1"/>
    </xf>
    <xf numFmtId="14" fontId="12" fillId="3" borderId="66" xfId="0" applyNumberFormat="1" applyFont="1" applyFill="1" applyBorder="1" applyAlignment="1">
      <alignment horizontal="center" vertical="center" wrapText="1"/>
    </xf>
    <xf numFmtId="14" fontId="12" fillId="3" borderId="66" xfId="0" applyNumberFormat="1" applyFont="1" applyFill="1" applyBorder="1" applyAlignment="1">
      <alignment horizontal="left" vertical="center" wrapText="1"/>
    </xf>
    <xf numFmtId="0" fontId="12" fillId="3" borderId="67" xfId="0" applyFont="1" applyFill="1" applyBorder="1" applyAlignment="1">
      <alignment horizontal="center" vertical="center" wrapText="1"/>
    </xf>
    <xf numFmtId="0" fontId="1" fillId="16" borderId="68" xfId="0" applyFont="1" applyFill="1" applyBorder="1" applyAlignment="1">
      <alignment horizontal="center" vertical="center"/>
    </xf>
    <xf numFmtId="0" fontId="4" fillId="16" borderId="69" xfId="0" applyFont="1" applyFill="1" applyBorder="1" applyAlignment="1">
      <alignment horizontal="center" vertical="center" wrapText="1"/>
    </xf>
    <xf numFmtId="0" fontId="0" fillId="16" borderId="69" xfId="0" applyFill="1" applyBorder="1" applyAlignment="1">
      <alignment horizontal="center" vertical="center"/>
    </xf>
    <xf numFmtId="14" fontId="0" fillId="16" borderId="69" xfId="0" applyNumberFormat="1" applyFill="1" applyBorder="1" applyAlignment="1">
      <alignment horizontal="center" vertical="center"/>
    </xf>
    <xf numFmtId="1" fontId="0" fillId="16" borderId="70" xfId="0" applyNumberFormat="1" applyFill="1" applyBorder="1" applyAlignment="1">
      <alignment horizontal="center" vertical="center"/>
    </xf>
    <xf numFmtId="14" fontId="0" fillId="16" borderId="70" xfId="0" applyNumberFormat="1" applyFill="1" applyBorder="1" applyAlignment="1">
      <alignment horizontal="left" vertical="center"/>
    </xf>
    <xf numFmtId="0" fontId="0" fillId="16" borderId="69" xfId="0" applyFill="1" applyBorder="1" applyAlignment="1">
      <alignment horizontal="left" vertical="center" wrapText="1"/>
    </xf>
    <xf numFmtId="0" fontId="0" fillId="16" borderId="69" xfId="0" applyFill="1" applyBorder="1" applyAlignment="1">
      <alignment horizontal="left" vertical="center"/>
    </xf>
    <xf numFmtId="0" fontId="0" fillId="16" borderId="71" xfId="0" applyFill="1" applyBorder="1" applyAlignment="1">
      <alignment horizontal="left" vertical="center" wrapText="1"/>
    </xf>
    <xf numFmtId="0" fontId="12" fillId="4" borderId="5"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2" fillId="4" borderId="7" xfId="0" applyFont="1" applyFill="1" applyBorder="1" applyAlignment="1">
      <alignment horizontal="center" vertical="center" wrapText="1"/>
    </xf>
    <xf numFmtId="0" fontId="23" fillId="3" borderId="5" xfId="0" applyFont="1" applyFill="1" applyBorder="1" applyAlignment="1">
      <alignment horizontal="center" vertical="center"/>
    </xf>
    <xf numFmtId="0" fontId="23" fillId="3" borderId="6" xfId="0" applyFont="1" applyFill="1" applyBorder="1" applyAlignment="1">
      <alignment horizontal="center" vertical="center"/>
    </xf>
    <xf numFmtId="0" fontId="23" fillId="3" borderId="7" xfId="0" applyFont="1" applyFill="1" applyBorder="1" applyAlignment="1">
      <alignment horizontal="center" vertical="center"/>
    </xf>
    <xf numFmtId="0" fontId="12" fillId="4" borderId="29" xfId="0" applyFont="1" applyFill="1" applyBorder="1" applyAlignment="1">
      <alignment horizontal="center" vertical="center" wrapText="1"/>
    </xf>
    <xf numFmtId="0" fontId="12" fillId="4" borderId="0" xfId="0" applyFont="1" applyFill="1" applyAlignment="1">
      <alignment horizontal="center" vertical="center" wrapText="1"/>
    </xf>
    <xf numFmtId="0" fontId="12" fillId="4" borderId="30" xfId="0" applyFont="1" applyFill="1" applyBorder="1" applyAlignment="1">
      <alignment horizontal="center" vertical="center" wrapText="1"/>
    </xf>
    <xf numFmtId="0" fontId="24" fillId="4" borderId="29" xfId="0" applyFont="1" applyFill="1" applyBorder="1" applyAlignment="1">
      <alignment horizontal="center" vertical="center" wrapText="1"/>
    </xf>
    <xf numFmtId="0" fontId="24" fillId="4" borderId="0" xfId="0" applyFont="1" applyFill="1" applyAlignment="1">
      <alignment horizontal="center" vertical="center" wrapText="1"/>
    </xf>
    <xf numFmtId="0" fontId="24" fillId="4" borderId="30" xfId="0" applyFont="1" applyFill="1" applyBorder="1" applyAlignment="1">
      <alignment horizontal="center" vertical="center" wrapText="1"/>
    </xf>
    <xf numFmtId="0" fontId="12" fillId="4" borderId="8"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31" xfId="0" applyFont="1" applyFill="1" applyBorder="1" applyAlignment="1">
      <alignment horizontal="center" vertical="center" wrapText="1"/>
    </xf>
    <xf numFmtId="0" fontId="30" fillId="21" borderId="9" xfId="0" applyFont="1" applyFill="1" applyBorder="1" applyAlignment="1">
      <alignment horizontal="center" vertical="center"/>
    </xf>
    <xf numFmtId="0" fontId="17" fillId="12" borderId="13" xfId="0" applyFont="1" applyFill="1" applyBorder="1" applyAlignment="1">
      <alignment vertical="center" wrapText="1"/>
    </xf>
    <xf numFmtId="0" fontId="17" fillId="12" borderId="9" xfId="0" applyFont="1" applyFill="1" applyBorder="1" applyAlignment="1">
      <alignment vertical="center" wrapText="1"/>
    </xf>
    <xf numFmtId="0" fontId="17" fillId="12" borderId="32" xfId="0" applyFont="1" applyFill="1" applyBorder="1" applyAlignment="1">
      <alignment vertical="center" wrapText="1"/>
    </xf>
    <xf numFmtId="0" fontId="17" fillId="12" borderId="5" xfId="0" applyFont="1" applyFill="1" applyBorder="1" applyAlignment="1">
      <alignment vertical="center" wrapText="1"/>
    </xf>
    <xf numFmtId="0" fontId="17" fillId="12" borderId="6" xfId="0" applyFont="1" applyFill="1" applyBorder="1" applyAlignment="1">
      <alignment vertical="center" wrapText="1"/>
    </xf>
    <xf numFmtId="0" fontId="18" fillId="12" borderId="6" xfId="0" applyFont="1" applyFill="1" applyBorder="1" applyAlignment="1">
      <alignment vertical="center" wrapText="1"/>
    </xf>
    <xf numFmtId="0" fontId="18" fillId="12" borderId="7" xfId="0" applyFont="1" applyFill="1" applyBorder="1" applyAlignment="1">
      <alignment vertical="center" wrapText="1"/>
    </xf>
    <xf numFmtId="0" fontId="27" fillId="3" borderId="10" xfId="0" applyFont="1" applyFill="1" applyBorder="1" applyAlignment="1">
      <alignment horizontal="center" vertical="center"/>
    </xf>
    <xf numFmtId="0" fontId="22" fillId="4" borderId="5" xfId="0" applyFont="1" applyFill="1" applyBorder="1" applyAlignment="1">
      <alignment horizontal="center" vertical="center"/>
    </xf>
    <xf numFmtId="0" fontId="22" fillId="4" borderId="6" xfId="0" applyFont="1" applyFill="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8" fillId="9" borderId="5" xfId="0" applyFont="1" applyFill="1" applyBorder="1" applyAlignment="1">
      <alignment vertical="center"/>
    </xf>
    <xf numFmtId="0" fontId="8" fillId="9" borderId="6" xfId="0" applyFont="1" applyFill="1" applyBorder="1" applyAlignment="1">
      <alignment vertical="center"/>
    </xf>
    <xf numFmtId="0" fontId="8" fillId="9" borderId="7" xfId="0" applyFont="1" applyFill="1" applyBorder="1" applyAlignment="1">
      <alignment vertical="center"/>
    </xf>
    <xf numFmtId="0" fontId="16" fillId="6" borderId="5" xfId="0" applyFont="1" applyFill="1" applyBorder="1" applyAlignment="1">
      <alignment vertical="center" wrapText="1"/>
    </xf>
    <xf numFmtId="0" fontId="16" fillId="6" borderId="6" xfId="0" applyFont="1" applyFill="1" applyBorder="1" applyAlignment="1">
      <alignment vertical="center" wrapText="1"/>
    </xf>
    <xf numFmtId="0" fontId="10" fillId="10" borderId="5" xfId="0" applyFont="1" applyFill="1" applyBorder="1" applyAlignment="1">
      <alignment vertical="center"/>
    </xf>
    <xf numFmtId="0" fontId="10" fillId="10" borderId="6" xfId="0" applyFont="1" applyFill="1" applyBorder="1" applyAlignment="1">
      <alignment vertical="center"/>
    </xf>
    <xf numFmtId="0" fontId="10" fillId="10" borderId="7" xfId="0" applyFont="1" applyFill="1" applyBorder="1" applyAlignment="1">
      <alignment vertical="center"/>
    </xf>
    <xf numFmtId="0" fontId="16" fillId="13" borderId="5" xfId="0" applyFont="1" applyFill="1" applyBorder="1" applyAlignment="1">
      <alignment vertical="center" wrapText="1"/>
    </xf>
    <xf numFmtId="0" fontId="16" fillId="13" borderId="6" xfId="0" applyFont="1" applyFill="1" applyBorder="1" applyAlignment="1">
      <alignment vertical="center" wrapText="1"/>
    </xf>
    <xf numFmtId="0" fontId="11" fillId="11" borderId="5" xfId="0" applyFont="1" applyFill="1" applyBorder="1" applyAlignment="1">
      <alignment vertical="center"/>
    </xf>
    <xf numFmtId="0" fontId="11" fillId="11" borderId="6" xfId="0" applyFont="1" applyFill="1" applyBorder="1" applyAlignment="1">
      <alignment vertical="center"/>
    </xf>
    <xf numFmtId="0" fontId="11" fillId="11" borderId="7" xfId="0" applyFont="1" applyFill="1" applyBorder="1" applyAlignment="1">
      <alignment vertical="center"/>
    </xf>
    <xf numFmtId="0" fontId="16" fillId="14" borderId="5" xfId="0" applyFont="1" applyFill="1" applyBorder="1" applyAlignment="1">
      <alignment vertical="center" wrapText="1"/>
    </xf>
    <xf numFmtId="0" fontId="16" fillId="14" borderId="6" xfId="0" applyFont="1" applyFill="1" applyBorder="1" applyAlignment="1">
      <alignment vertical="center" wrapText="1"/>
    </xf>
    <xf numFmtId="0" fontId="6" fillId="4" borderId="33" xfId="0" applyFont="1" applyFill="1" applyBorder="1" applyAlignment="1">
      <alignment horizontal="center" vertical="center" wrapText="1"/>
    </xf>
    <xf numFmtId="0" fontId="6" fillId="4" borderId="17"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39" xfId="0" applyFont="1" applyFill="1" applyBorder="1" applyAlignment="1">
      <alignment horizontal="center" vertical="center" wrapText="1"/>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25" fillId="4" borderId="53" xfId="0" applyFont="1" applyFill="1" applyBorder="1" applyAlignment="1">
      <alignment horizontal="left" indent="1"/>
    </xf>
    <xf numFmtId="1" fontId="25" fillId="4" borderId="55" xfId="0" applyNumberFormat="1" applyFont="1" applyFill="1" applyBorder="1" applyAlignment="1">
      <alignment horizontal="right"/>
    </xf>
    <xf numFmtId="0" fontId="27" fillId="3" borderId="0" xfId="0" applyFont="1" applyFill="1" applyAlignment="1">
      <alignment horizontal="center" vertical="center"/>
    </xf>
    <xf numFmtId="0" fontId="27" fillId="5" borderId="0" xfId="0" applyFont="1" applyFill="1" applyAlignment="1">
      <alignment horizontal="center" vertical="center"/>
    </xf>
    <xf numFmtId="0" fontId="28" fillId="21" borderId="0" xfId="0" applyFont="1" applyFill="1" applyAlignment="1">
      <alignment horizontal="center" vertical="center"/>
    </xf>
    <xf numFmtId="0" fontId="28" fillId="5" borderId="0" xfId="0" applyFont="1" applyFill="1" applyAlignment="1">
      <alignment horizontal="center" vertical="center"/>
    </xf>
    <xf numFmtId="0" fontId="25" fillId="4" borderId="45" xfId="0" applyFont="1" applyFill="1" applyBorder="1" applyAlignment="1">
      <alignment horizontal="center"/>
    </xf>
    <xf numFmtId="0" fontId="25" fillId="4" borderId="49" xfId="0" applyFont="1" applyFill="1" applyBorder="1" applyAlignment="1">
      <alignment horizontal="right"/>
    </xf>
    <xf numFmtId="0" fontId="25" fillId="4" borderId="53" xfId="0" applyFont="1" applyFill="1" applyBorder="1" applyAlignment="1">
      <alignment horizontal="center"/>
    </xf>
    <xf numFmtId="0" fontId="25" fillId="4" borderId="55" xfId="0" applyFont="1" applyFill="1" applyBorder="1" applyAlignment="1">
      <alignment horizontal="right"/>
    </xf>
  </cellXfs>
  <cellStyles count="1">
    <cellStyle name="Normal" xfId="0" builtinId="0"/>
  </cellStyles>
  <dxfs count="45">
    <dxf>
      <font>
        <b/>
        <i val="0"/>
        <color rgb="FFFFFFFF"/>
      </font>
      <fill>
        <patternFill patternType="solid">
          <fgColor indexed="64"/>
          <bgColor rgb="FF4472C4"/>
        </patternFill>
      </fill>
    </dxf>
    <dxf>
      <font>
        <color rgb="FF000000"/>
      </font>
      <fill>
        <patternFill patternType="solid">
          <fgColor indexed="64"/>
          <bgColor rgb="FF92D050"/>
        </patternFill>
      </fill>
    </dxf>
    <dxf>
      <font>
        <color rgb="FF000000"/>
      </font>
      <fill>
        <patternFill patternType="solid">
          <fgColor indexed="64"/>
          <bgColor rgb="FFFFC000"/>
        </patternFill>
      </fill>
    </dxf>
    <dxf>
      <font>
        <b/>
        <i val="0"/>
        <color rgb="FFFFFFFF"/>
      </font>
      <fill>
        <patternFill patternType="solid">
          <fgColor indexed="64"/>
          <bgColor rgb="FFED7D31"/>
        </patternFill>
      </fill>
    </dxf>
    <dxf>
      <font>
        <b/>
        <i val="0"/>
        <color rgb="FFFFFFFF"/>
      </font>
      <fill>
        <patternFill patternType="solid">
          <fgColor indexed="64"/>
          <bgColor rgb="FFC00000"/>
        </patternFill>
      </fill>
    </dxf>
    <dxf>
      <font>
        <color rgb="FF000000"/>
      </font>
      <fill>
        <patternFill patternType="solid">
          <fgColor indexed="64"/>
          <bgColor rgb="FF92D050"/>
        </patternFill>
      </fill>
    </dxf>
    <dxf>
      <font>
        <color rgb="FF000000"/>
      </font>
      <fill>
        <patternFill patternType="solid">
          <fgColor indexed="64"/>
          <bgColor rgb="FFFFC000"/>
        </patternFill>
      </fill>
    </dxf>
    <dxf>
      <font>
        <b/>
        <i val="0"/>
        <color rgb="FFFFFFFF"/>
      </font>
      <fill>
        <patternFill patternType="solid">
          <fgColor indexed="64"/>
          <bgColor rgb="FFED7D31"/>
        </patternFill>
      </fill>
    </dxf>
    <dxf>
      <font>
        <b/>
        <i val="0"/>
        <color rgb="FFFFFFFF"/>
      </font>
      <fill>
        <patternFill patternType="solid">
          <fgColor indexed="64"/>
          <bgColor rgb="FFC00000"/>
        </patternFill>
      </fill>
    </dxf>
    <dxf>
      <font>
        <color rgb="FF000000"/>
      </font>
      <fill>
        <patternFill patternType="solid">
          <fgColor indexed="64"/>
          <bgColor rgb="FF92D050"/>
        </patternFill>
      </fill>
    </dxf>
    <dxf>
      <font>
        <color rgb="FF000000"/>
      </font>
      <fill>
        <patternFill patternType="solid">
          <fgColor indexed="64"/>
          <bgColor rgb="FFFFC000"/>
        </patternFill>
      </fill>
    </dxf>
    <dxf>
      <font>
        <b/>
        <i val="0"/>
        <color rgb="FFFFFFFF"/>
      </font>
      <fill>
        <patternFill patternType="solid">
          <fgColor indexed="64"/>
          <bgColor rgb="FFED7D31"/>
        </patternFill>
      </fill>
    </dxf>
    <dxf>
      <font>
        <b/>
        <i val="0"/>
        <color rgb="FFFFFFFF"/>
      </font>
      <fill>
        <patternFill patternType="solid">
          <fgColor indexed="64"/>
          <bgColor rgb="FFC00000"/>
        </patternFill>
      </fill>
    </dxf>
    <dxf>
      <font>
        <b/>
        <i val="0"/>
        <color rgb="FF006400"/>
      </font>
      <fill>
        <patternFill patternType="solid">
          <fgColor indexed="64"/>
          <bgColor rgb="FF6BCB77"/>
        </patternFill>
      </fill>
    </dxf>
    <dxf>
      <font>
        <b/>
        <i val="0"/>
        <color rgb="FF8B8000"/>
      </font>
      <fill>
        <patternFill patternType="solid">
          <fgColor indexed="64"/>
          <bgColor rgb="FFFFD93D"/>
        </patternFill>
      </fill>
    </dxf>
    <dxf>
      <font>
        <b/>
        <i val="0"/>
        <color rgb="FF8B0000"/>
      </font>
      <fill>
        <patternFill patternType="solid">
          <fgColor indexed="64"/>
          <bgColor rgb="FFFF6B6B"/>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806000"/>
      </font>
      <fill>
        <patternFill patternType="solid">
          <fgColor indexed="64"/>
          <bgColor rgb="FFFFF2CC"/>
        </patternFill>
      </fill>
    </dxf>
    <dxf>
      <font>
        <color rgb="FF806000"/>
      </font>
      <fill>
        <patternFill patternType="solid">
          <fgColor indexed="64"/>
          <bgColor rgb="FFFFF2C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806000"/>
      </font>
      <fill>
        <patternFill patternType="solid">
          <fgColor indexed="64"/>
          <bgColor rgb="FFFFF2C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806000"/>
      </font>
      <fill>
        <patternFill patternType="solid">
          <fgColor indexed="64"/>
          <bgColor rgb="FFFFF2C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806000"/>
      </font>
      <fill>
        <patternFill patternType="solid">
          <fgColor indexed="64"/>
          <bgColor rgb="FFFFF2CC"/>
        </patternFill>
      </fill>
    </dxf>
    <dxf>
      <font>
        <b/>
        <i val="0"/>
        <color rgb="FFFFFFFF"/>
      </font>
      <fill>
        <patternFill patternType="solid">
          <fgColor indexed="64"/>
          <bgColor rgb="FFFF6B6B"/>
        </patternFill>
      </fill>
    </dxf>
    <dxf>
      <font>
        <b/>
        <i val="0"/>
        <color rgb="FF000000"/>
      </font>
      <fill>
        <patternFill patternType="solid">
          <fgColor indexed="64"/>
          <bgColor rgb="FFFFD93D"/>
        </patternFill>
      </fill>
    </dxf>
    <dxf>
      <font>
        <b/>
        <i val="0"/>
        <color rgb="FFFFFFFF"/>
      </font>
      <fill>
        <patternFill patternType="solid">
          <fgColor indexed="64"/>
          <bgColor rgb="FF6BCB77"/>
        </patternFill>
      </fill>
    </dxf>
    <dxf>
      <font>
        <b/>
        <i val="0"/>
        <color rgb="FFFFFFFF"/>
      </font>
      <fill>
        <patternFill patternType="solid">
          <fgColor indexed="64"/>
          <bgColor rgb="FFFF6B6B"/>
        </patternFill>
      </fill>
    </dxf>
    <dxf>
      <font>
        <b/>
        <i val="0"/>
        <color rgb="FF000000"/>
      </font>
      <fill>
        <patternFill patternType="solid">
          <fgColor indexed="64"/>
          <bgColor rgb="FFFFD93D"/>
        </patternFill>
      </fill>
    </dxf>
    <dxf>
      <font>
        <b/>
        <i val="0"/>
        <color rgb="FFFFFFFF"/>
      </font>
      <fill>
        <patternFill patternType="solid">
          <fgColor indexed="64"/>
          <bgColor rgb="FF6BCB77"/>
        </patternFill>
      </fill>
    </dxf>
    <dxf>
      <font>
        <b/>
        <i val="0"/>
        <color rgb="FFFFFFFF"/>
      </font>
      <fill>
        <patternFill patternType="solid">
          <fgColor indexed="64"/>
          <bgColor rgb="FF6BCB77"/>
        </patternFill>
      </fill>
    </dxf>
    <dxf>
      <font>
        <b/>
        <i val="0"/>
        <color rgb="FF000000"/>
      </font>
      <fill>
        <patternFill patternType="solid">
          <fgColor indexed="64"/>
          <bgColor rgb="FFFFD93D"/>
        </patternFill>
      </fill>
    </dxf>
    <dxf>
      <font>
        <b/>
        <i val="0"/>
        <color rgb="FFFFFFFF"/>
      </font>
      <fill>
        <patternFill patternType="solid">
          <fgColor indexed="64"/>
          <bgColor rgb="FFFF6B6B"/>
        </patternFill>
      </fill>
    </dxf>
    <dxf>
      <font>
        <b/>
        <i val="0"/>
        <color rgb="FFFFFFFF"/>
      </font>
      <fill>
        <patternFill patternType="solid">
          <fgColor indexed="64"/>
          <bgColor rgb="FF6BCB77"/>
        </patternFill>
      </fill>
    </dxf>
    <dxf>
      <font>
        <b/>
        <i val="0"/>
        <color rgb="FF000000"/>
      </font>
      <fill>
        <patternFill patternType="solid">
          <fgColor indexed="64"/>
          <bgColor rgb="FFFFD93D"/>
        </patternFill>
      </fill>
    </dxf>
    <dxf>
      <font>
        <b/>
        <i val="0"/>
        <color rgb="FFFFFFFF"/>
      </font>
      <fill>
        <patternFill patternType="solid">
          <fgColor indexed="64"/>
          <bgColor rgb="FFFF6B6B"/>
        </patternFill>
      </fill>
    </dxf>
    <dxf>
      <numFmt numFmtId="19" formatCode="dd/mm/yyyy"/>
    </dxf>
    <dxf>
      <numFmt numFmtId="19" formatCode="dd/mm/yyyy"/>
    </dxf>
  </dxfs>
  <tableStyles count="0" defaultTableStyle="TableStyleMedium9" defaultPivotStyle="PivotStyleLight16"/>
  <colors>
    <mruColors>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A43F78-780D-40DF-A5CC-490E54D1BEF3}" name="Tabla1" displayName="Tabla1" ref="A1:AC47" totalsRowShown="0">
  <autoFilter ref="A1:AC47" xr:uid="{A5A43F78-780D-40DF-A5CC-490E54D1BEF3}"/>
  <tableColumns count="29">
    <tableColumn id="1" xr3:uid="{C8DC2A1F-F8D7-43E8-AD76-4F48D9D5EE54}" name="Jefe Dpto"/>
    <tableColumn id="2" xr3:uid="{289CB7EB-8101-4757-81EE-C308FC48B244}" name="ID Problema"/>
    <tableColumn id="3" xr3:uid="{4532B310-8BBA-4CEB-9102-56E99CBCABD8}" name="Semaforo"/>
    <tableColumn id="4" xr3:uid="{6311C9BB-C6AE-4280-8F8D-53D024248777}" name="Prioridad"/>
    <tableColumn id="5" xr3:uid="{04D8C2B3-B27E-4847-B72C-76F67407FA77}" name="Estado"/>
    <tableColumn id="6" xr3:uid="{320D357F-B7D7-4B28-8BB9-677A9397E496}" name="Fec. creación" dataDxfId="44"/>
    <tableColumn id="7" xr3:uid="{676C45A0-071D-4CAD-944F-99DF9F466D43}" name="Ageing"/>
    <tableColumn id="8" xr3:uid="{27E49593-EE69-4296-A90C-3027C711BF42}" name="Fecha de Compromisos" dataDxfId="43"/>
    <tableColumn id="9" xr3:uid="{A88FF4D8-101A-467E-855C-10D0F1A52200}" name="SubCategoria"/>
    <tableColumn id="10" xr3:uid="{ACAB4DC7-09C1-48AA-8921-515D138E5308}" name="Asignado a"/>
    <tableColumn id="11" xr3:uid="{58995EC6-1A29-4647-B8DE-F58FD97364C3}" name="Breve descripción"/>
    <tableColumn id="12" xr3:uid="{9A7FA2D1-2C4C-4A14-805E-CE650C665761}" name="Descripción (historial)"/>
    <tableColumn id="13" xr3:uid="{3B791B8C-63B9-45AA-BFAF-51FBFB517B28}" name="Causa raíz"/>
    <tableColumn id="14" xr3:uid="{3623256C-D181-461A-A644-0991457E2AB2}" name="Alcance"/>
    <tableColumn id="15" xr3:uid="{A8AACEDF-6140-4D2F-96A7-5C1434508AC5}" name="Sub Gerencia"/>
    <tableColumn id="16" xr3:uid="{F53193CD-7F74-44F5-9E64-0679D27C563E}" name="Tipo de problema"/>
    <tableColumn id="17" xr3:uid="{06B3D349-BC1B-4401-8449-0C30C33272A0}" name="Fec. cierre"/>
    <tableColumn id="18" xr3:uid="{A4A5937C-22C6-4667-91D5-A8FD02BF7272}" name="Ocurrencia"/>
    <tableColumn id="19" xr3:uid="{6E8A70B5-2FBD-4C08-8567-F716CC071EE7}" name="Workaround"/>
    <tableColumn id="20" xr3:uid="{F1B7920C-A6E8-4150-8744-71367E1B2D1C}" name="En que Consiste el Workaround"/>
    <tableColumn id="21" xr3:uid="{BA239910-E358-41E6-856F-46DFE90E31E3}" name="Resultado  WA"/>
    <tableColumn id="22" xr3:uid="{B4CEA974-6BB7-44F9-8C1E-6247485EBFFD}" name="Tipo de Compromiso"/>
    <tableColumn id="23" xr3:uid="{5662260D-986C-4C77-A661-044B41A5A2BF}" name="Seguimiento"/>
    <tableColumn id="24" xr3:uid="{6149A646-966E-4F8A-B344-7BFF67FB7450}" name="F. Ult. Modif."/>
    <tableColumn id="25" xr3:uid="{64829B60-DB3B-4B35-8AEE-C97AFC12BA9A}" name="Fec. resolución"/>
    <tableColumn id="26" xr3:uid="{E104298B-6D5E-4144-99E5-F1F41771FBDD}" name="Tickets Asociados"/>
    <tableColumn id="27" xr3:uid="{C69D91EF-F69C-4EFD-978E-D89694B62BAD}" name="Cerrado por"/>
    <tableColumn id="28" xr3:uid="{068ED2C0-A6B5-4D70-BDDD-90FB0DB6C290}" name="Creado por"/>
    <tableColumn id="29" xr3:uid="{0951A118-91FF-41C0-998E-487CA7DD7FD8}" name="Quien solicito crear el Ticket Problema"/>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EBB51-0527-4395-852F-C3E94D301B1D}">
  <dimension ref="A1:AC47"/>
  <sheetViews>
    <sheetView topLeftCell="A2" zoomScale="85" zoomScaleNormal="85" workbookViewId="0">
      <selection activeCell="K18" sqref="K18"/>
    </sheetView>
  </sheetViews>
  <sheetFormatPr baseColWidth="10" defaultColWidth="16.7109375" defaultRowHeight="18" customHeight="1" x14ac:dyDescent="0.25"/>
  <cols>
    <col min="2" max="2" width="16.7109375" style="5"/>
    <col min="3" max="3" width="16.7109375" style="28"/>
    <col min="20" max="20" width="16.7109375" style="5"/>
    <col min="23" max="23" width="16.7109375" style="5"/>
  </cols>
  <sheetData>
    <row r="1" spans="1:29" ht="18" customHeight="1" x14ac:dyDescent="0.25">
      <c r="A1" t="s">
        <v>4</v>
      </c>
      <c r="B1" t="s">
        <v>141</v>
      </c>
      <c r="C1" t="s">
        <v>358</v>
      </c>
      <c r="D1" t="s">
        <v>2</v>
      </c>
      <c r="E1" t="s">
        <v>0</v>
      </c>
      <c r="F1" s="5" t="s">
        <v>142</v>
      </c>
      <c r="G1" t="s">
        <v>11</v>
      </c>
      <c r="H1" s="5" t="s">
        <v>112</v>
      </c>
      <c r="I1" t="s">
        <v>144</v>
      </c>
      <c r="J1" t="s">
        <v>146</v>
      </c>
      <c r="K1" t="s">
        <v>143</v>
      </c>
      <c r="L1" t="s">
        <v>252</v>
      </c>
      <c r="M1" t="s">
        <v>8</v>
      </c>
      <c r="N1" t="s">
        <v>10</v>
      </c>
      <c r="O1" t="s">
        <v>3</v>
      </c>
      <c r="P1" t="s">
        <v>6</v>
      </c>
      <c r="Q1" t="s">
        <v>145</v>
      </c>
      <c r="R1" t="s">
        <v>114</v>
      </c>
      <c r="S1" t="s">
        <v>12</v>
      </c>
      <c r="T1" t="s">
        <v>147</v>
      </c>
      <c r="U1" t="s">
        <v>13</v>
      </c>
      <c r="V1" t="s">
        <v>113</v>
      </c>
      <c r="W1" t="s">
        <v>119</v>
      </c>
      <c r="X1" t="s">
        <v>148</v>
      </c>
      <c r="Y1" t="s">
        <v>149</v>
      </c>
      <c r="Z1" t="s">
        <v>253</v>
      </c>
      <c r="AA1" t="s">
        <v>150</v>
      </c>
      <c r="AB1" t="s">
        <v>151</v>
      </c>
      <c r="AC1" t="s">
        <v>152</v>
      </c>
    </row>
    <row r="2" spans="1:29" ht="18" customHeight="1" x14ac:dyDescent="0.25">
      <c r="A2" t="s">
        <v>49</v>
      </c>
      <c r="B2">
        <v>194</v>
      </c>
      <c r="C2" t="s">
        <v>384</v>
      </c>
      <c r="D2" t="s">
        <v>15</v>
      </c>
      <c r="E2" t="s">
        <v>154</v>
      </c>
      <c r="F2" s="5">
        <v>46196.74491898148</v>
      </c>
      <c r="G2">
        <v>6</v>
      </c>
      <c r="H2" s="5"/>
      <c r="I2" t="s">
        <v>62</v>
      </c>
      <c r="J2" t="s">
        <v>359</v>
      </c>
      <c r="K2" t="s">
        <v>385</v>
      </c>
      <c r="L2" t="s">
        <v>361</v>
      </c>
      <c r="N2" t="s">
        <v>31</v>
      </c>
      <c r="P2" t="s">
        <v>34</v>
      </c>
      <c r="R2" t="s">
        <v>116</v>
      </c>
      <c r="S2" t="s">
        <v>263</v>
      </c>
      <c r="T2"/>
      <c r="W2" t="s">
        <v>362</v>
      </c>
      <c r="X2" t="s">
        <v>386</v>
      </c>
      <c r="Y2" t="s">
        <v>363</v>
      </c>
      <c r="Z2">
        <v>3</v>
      </c>
      <c r="AB2" t="s">
        <v>157</v>
      </c>
      <c r="AC2" t="s">
        <v>67</v>
      </c>
    </row>
    <row r="3" spans="1:29" ht="18" customHeight="1" x14ac:dyDescent="0.25">
      <c r="A3" t="s">
        <v>284</v>
      </c>
      <c r="B3">
        <v>190</v>
      </c>
      <c r="C3" t="s">
        <v>384</v>
      </c>
      <c r="D3" t="s">
        <v>15</v>
      </c>
      <c r="E3" t="s">
        <v>154</v>
      </c>
      <c r="F3" s="5">
        <v>46189.462395833332</v>
      </c>
      <c r="G3">
        <v>7</v>
      </c>
      <c r="H3" s="5"/>
      <c r="I3" t="s">
        <v>56</v>
      </c>
      <c r="J3" t="s">
        <v>171</v>
      </c>
      <c r="K3" t="s">
        <v>381</v>
      </c>
      <c r="L3" t="s">
        <v>283</v>
      </c>
      <c r="N3" t="s">
        <v>31</v>
      </c>
      <c r="O3" t="s">
        <v>26</v>
      </c>
      <c r="P3" t="s">
        <v>34</v>
      </c>
      <c r="R3" t="s">
        <v>115</v>
      </c>
      <c r="S3" t="s">
        <v>263</v>
      </c>
      <c r="T3"/>
      <c r="W3"/>
      <c r="X3" t="s">
        <v>387</v>
      </c>
      <c r="Y3" t="s">
        <v>285</v>
      </c>
      <c r="Z3">
        <v>1</v>
      </c>
      <c r="AB3" t="s">
        <v>157</v>
      </c>
      <c r="AC3" t="s">
        <v>286</v>
      </c>
    </row>
    <row r="4" spans="1:29" ht="18" customHeight="1" x14ac:dyDescent="0.25">
      <c r="A4" t="s">
        <v>284</v>
      </c>
      <c r="B4">
        <v>189</v>
      </c>
      <c r="C4" t="s">
        <v>384</v>
      </c>
      <c r="D4" t="s">
        <v>15</v>
      </c>
      <c r="E4" t="s">
        <v>154</v>
      </c>
      <c r="F4" s="5">
        <v>46188.559374999997</v>
      </c>
      <c r="G4">
        <v>7</v>
      </c>
      <c r="H4" s="5"/>
      <c r="I4" t="s">
        <v>45</v>
      </c>
      <c r="J4" t="s">
        <v>161</v>
      </c>
      <c r="K4" t="s">
        <v>287</v>
      </c>
      <c r="L4" t="s">
        <v>288</v>
      </c>
      <c r="N4" t="s">
        <v>31</v>
      </c>
      <c r="O4" t="s">
        <v>26</v>
      </c>
      <c r="P4" t="s">
        <v>34</v>
      </c>
      <c r="R4" t="s">
        <v>115</v>
      </c>
      <c r="S4" t="s">
        <v>263</v>
      </c>
      <c r="T4"/>
      <c r="W4" t="s">
        <v>289</v>
      </c>
      <c r="X4" t="s">
        <v>364</v>
      </c>
      <c r="Y4" t="s">
        <v>290</v>
      </c>
      <c r="Z4">
        <v>1</v>
      </c>
      <c r="AB4" t="s">
        <v>157</v>
      </c>
      <c r="AC4" t="s">
        <v>55</v>
      </c>
    </row>
    <row r="5" spans="1:29" ht="18" customHeight="1" x14ac:dyDescent="0.25">
      <c r="A5" t="s">
        <v>17</v>
      </c>
      <c r="B5">
        <v>188</v>
      </c>
      <c r="C5" t="s">
        <v>388</v>
      </c>
      <c r="D5" t="s">
        <v>15</v>
      </c>
      <c r="E5" t="s">
        <v>154</v>
      </c>
      <c r="F5" s="5">
        <v>46188.547337962962</v>
      </c>
      <c r="G5">
        <v>7</v>
      </c>
      <c r="H5" s="5">
        <v>46211</v>
      </c>
      <c r="I5" t="s">
        <v>56</v>
      </c>
      <c r="J5" t="s">
        <v>254</v>
      </c>
      <c r="K5" t="s">
        <v>372</v>
      </c>
      <c r="L5" t="s">
        <v>291</v>
      </c>
      <c r="M5" t="s">
        <v>389</v>
      </c>
      <c r="N5" t="s">
        <v>31</v>
      </c>
      <c r="O5" t="s">
        <v>16</v>
      </c>
      <c r="P5" t="s">
        <v>18</v>
      </c>
      <c r="R5" t="s">
        <v>115</v>
      </c>
      <c r="S5" t="s">
        <v>262</v>
      </c>
      <c r="T5" t="s">
        <v>390</v>
      </c>
      <c r="U5" t="s">
        <v>32</v>
      </c>
      <c r="V5" t="s">
        <v>156</v>
      </c>
      <c r="W5" t="s">
        <v>292</v>
      </c>
      <c r="X5" t="s">
        <v>391</v>
      </c>
      <c r="Y5" t="s">
        <v>293</v>
      </c>
      <c r="Z5">
        <v>1</v>
      </c>
      <c r="AB5" t="s">
        <v>157</v>
      </c>
      <c r="AC5" t="s">
        <v>294</v>
      </c>
    </row>
    <row r="6" spans="1:29" ht="18" customHeight="1" x14ac:dyDescent="0.25">
      <c r="A6" t="s">
        <v>284</v>
      </c>
      <c r="B6">
        <v>187</v>
      </c>
      <c r="C6" t="s">
        <v>384</v>
      </c>
      <c r="D6" t="s">
        <v>15</v>
      </c>
      <c r="E6" t="s">
        <v>154</v>
      </c>
      <c r="F6" s="5">
        <v>46188.480451388888</v>
      </c>
      <c r="G6">
        <v>7</v>
      </c>
      <c r="H6" s="5"/>
      <c r="I6" t="s">
        <v>61</v>
      </c>
      <c r="J6" t="s">
        <v>205</v>
      </c>
      <c r="K6" t="s">
        <v>295</v>
      </c>
      <c r="L6" t="s">
        <v>296</v>
      </c>
      <c r="N6" t="s">
        <v>31</v>
      </c>
      <c r="O6" t="s">
        <v>26</v>
      </c>
      <c r="P6" t="s">
        <v>29</v>
      </c>
      <c r="R6" t="s">
        <v>115</v>
      </c>
      <c r="S6" t="s">
        <v>263</v>
      </c>
      <c r="T6"/>
      <c r="W6"/>
      <c r="X6" t="s">
        <v>365</v>
      </c>
      <c r="Y6" t="s">
        <v>297</v>
      </c>
      <c r="Z6">
        <v>1</v>
      </c>
      <c r="AB6" t="s">
        <v>157</v>
      </c>
      <c r="AC6" t="s">
        <v>298</v>
      </c>
    </row>
    <row r="7" spans="1:29" ht="18" customHeight="1" x14ac:dyDescent="0.25">
      <c r="A7" t="s">
        <v>17</v>
      </c>
      <c r="B7">
        <v>185</v>
      </c>
      <c r="C7" t="s">
        <v>384</v>
      </c>
      <c r="D7" t="s">
        <v>25</v>
      </c>
      <c r="E7" t="s">
        <v>154</v>
      </c>
      <c r="F7" s="5">
        <v>46301.455266203702</v>
      </c>
      <c r="G7">
        <v>7</v>
      </c>
      <c r="H7" s="5"/>
      <c r="I7" t="s">
        <v>20</v>
      </c>
      <c r="J7" t="s">
        <v>261</v>
      </c>
      <c r="K7" t="s">
        <v>301</v>
      </c>
      <c r="L7" t="s">
        <v>302</v>
      </c>
      <c r="M7" t="s">
        <v>303</v>
      </c>
      <c r="N7" t="s">
        <v>31</v>
      </c>
      <c r="O7" t="s">
        <v>16</v>
      </c>
      <c r="P7" t="s">
        <v>18</v>
      </c>
      <c r="R7" t="s">
        <v>115</v>
      </c>
      <c r="S7" t="s">
        <v>263</v>
      </c>
      <c r="T7" t="s">
        <v>303</v>
      </c>
      <c r="W7" t="s">
        <v>304</v>
      </c>
      <c r="X7" t="s">
        <v>349</v>
      </c>
      <c r="Y7" t="s">
        <v>306</v>
      </c>
      <c r="Z7">
        <v>1</v>
      </c>
      <c r="AB7" t="s">
        <v>167</v>
      </c>
      <c r="AC7" t="s">
        <v>307</v>
      </c>
    </row>
    <row r="8" spans="1:29" ht="18" customHeight="1" x14ac:dyDescent="0.25">
      <c r="A8" t="s">
        <v>308</v>
      </c>
      <c r="B8">
        <v>183</v>
      </c>
      <c r="C8" t="s">
        <v>388</v>
      </c>
      <c r="D8" t="s">
        <v>25</v>
      </c>
      <c r="E8" t="s">
        <v>154</v>
      </c>
      <c r="F8" s="5">
        <v>46028.612685185188</v>
      </c>
      <c r="G8">
        <v>15</v>
      </c>
      <c r="H8" s="5">
        <v>46234</v>
      </c>
      <c r="I8" s="49" t="s">
        <v>398</v>
      </c>
      <c r="J8" t="s">
        <v>258</v>
      </c>
      <c r="K8" t="s">
        <v>256</v>
      </c>
      <c r="L8" t="s">
        <v>257</v>
      </c>
      <c r="N8" t="s">
        <v>160</v>
      </c>
      <c r="O8" t="s">
        <v>26</v>
      </c>
      <c r="P8" t="s">
        <v>34</v>
      </c>
      <c r="R8" t="s">
        <v>118</v>
      </c>
      <c r="S8" t="s">
        <v>262</v>
      </c>
      <c r="T8" t="s">
        <v>259</v>
      </c>
      <c r="U8" t="s">
        <v>32</v>
      </c>
      <c r="V8" t="s">
        <v>156</v>
      </c>
      <c r="W8" t="s">
        <v>260</v>
      </c>
      <c r="X8" t="s">
        <v>305</v>
      </c>
      <c r="Y8" t="s">
        <v>309</v>
      </c>
      <c r="Z8">
        <v>0</v>
      </c>
      <c r="AB8" t="s">
        <v>167</v>
      </c>
      <c r="AC8" t="s">
        <v>67</v>
      </c>
    </row>
    <row r="9" spans="1:29" ht="18" customHeight="1" x14ac:dyDescent="0.25">
      <c r="A9" t="s">
        <v>17</v>
      </c>
      <c r="B9">
        <v>182</v>
      </c>
      <c r="C9" t="s">
        <v>388</v>
      </c>
      <c r="D9" t="s">
        <v>15</v>
      </c>
      <c r="E9" t="s">
        <v>154</v>
      </c>
      <c r="F9" s="5">
        <v>46169.689664351848</v>
      </c>
      <c r="G9">
        <v>19</v>
      </c>
      <c r="H9" s="5">
        <v>46182</v>
      </c>
      <c r="I9" t="s">
        <v>20</v>
      </c>
      <c r="J9" t="s">
        <v>261</v>
      </c>
      <c r="K9" t="s">
        <v>371</v>
      </c>
      <c r="L9" t="s">
        <v>153</v>
      </c>
      <c r="M9" t="s">
        <v>140</v>
      </c>
      <c r="N9" t="s">
        <v>31</v>
      </c>
      <c r="O9" t="s">
        <v>16</v>
      </c>
      <c r="P9" t="s">
        <v>34</v>
      </c>
      <c r="R9" t="s">
        <v>115</v>
      </c>
      <c r="S9" t="s">
        <v>262</v>
      </c>
      <c r="T9" t="s">
        <v>155</v>
      </c>
      <c r="U9" t="s">
        <v>23</v>
      </c>
      <c r="V9" t="s">
        <v>265</v>
      </c>
      <c r="W9" t="s">
        <v>266</v>
      </c>
      <c r="X9" t="s">
        <v>392</v>
      </c>
      <c r="Y9" t="s">
        <v>309</v>
      </c>
      <c r="Z9">
        <v>0</v>
      </c>
      <c r="AB9" t="s">
        <v>167</v>
      </c>
    </row>
    <row r="10" spans="1:29" ht="18" customHeight="1" x14ac:dyDescent="0.25">
      <c r="A10" t="s">
        <v>284</v>
      </c>
      <c r="B10">
        <v>180</v>
      </c>
      <c r="C10" t="s">
        <v>388</v>
      </c>
      <c r="D10" t="s">
        <v>15</v>
      </c>
      <c r="E10" t="s">
        <v>154</v>
      </c>
      <c r="F10" s="5">
        <v>46169.631145833337</v>
      </c>
      <c r="G10">
        <v>20</v>
      </c>
      <c r="H10" s="5">
        <v>46265</v>
      </c>
      <c r="I10" t="s">
        <v>63</v>
      </c>
      <c r="J10" t="s">
        <v>161</v>
      </c>
      <c r="K10" t="s">
        <v>378</v>
      </c>
      <c r="L10" t="s">
        <v>158</v>
      </c>
      <c r="M10" t="s">
        <v>159</v>
      </c>
      <c r="N10" t="s">
        <v>160</v>
      </c>
      <c r="O10" t="s">
        <v>26</v>
      </c>
      <c r="P10" t="s">
        <v>29</v>
      </c>
      <c r="R10" t="s">
        <v>115</v>
      </c>
      <c r="S10" t="s">
        <v>262</v>
      </c>
      <c r="T10" t="s">
        <v>162</v>
      </c>
      <c r="U10" t="s">
        <v>23</v>
      </c>
      <c r="V10" t="s">
        <v>156</v>
      </c>
      <c r="W10" t="s">
        <v>310</v>
      </c>
      <c r="X10" t="s">
        <v>393</v>
      </c>
      <c r="Y10" t="s">
        <v>311</v>
      </c>
      <c r="Z10">
        <v>3</v>
      </c>
      <c r="AB10" t="s">
        <v>167</v>
      </c>
      <c r="AC10" t="s">
        <v>55</v>
      </c>
    </row>
    <row r="11" spans="1:29" ht="18" customHeight="1" x14ac:dyDescent="0.25">
      <c r="A11" t="s">
        <v>284</v>
      </c>
      <c r="B11">
        <v>179</v>
      </c>
      <c r="C11" t="s">
        <v>388</v>
      </c>
      <c r="D11" t="s">
        <v>15</v>
      </c>
      <c r="E11" t="s">
        <v>154</v>
      </c>
      <c r="F11" s="5">
        <v>46169.600752314815</v>
      </c>
      <c r="G11">
        <v>19</v>
      </c>
      <c r="H11" s="5">
        <v>46300</v>
      </c>
      <c r="I11" t="s">
        <v>63</v>
      </c>
      <c r="J11" t="s">
        <v>161</v>
      </c>
      <c r="K11" t="s">
        <v>379</v>
      </c>
      <c r="L11" t="s">
        <v>163</v>
      </c>
      <c r="M11" t="s">
        <v>139</v>
      </c>
      <c r="N11" t="s">
        <v>50</v>
      </c>
      <c r="O11" t="s">
        <v>26</v>
      </c>
      <c r="P11" t="s">
        <v>29</v>
      </c>
      <c r="R11" t="s">
        <v>116</v>
      </c>
      <c r="S11" t="s">
        <v>262</v>
      </c>
      <c r="T11" t="s">
        <v>164</v>
      </c>
      <c r="U11" t="s">
        <v>23</v>
      </c>
      <c r="V11" t="s">
        <v>156</v>
      </c>
      <c r="W11" t="s">
        <v>312</v>
      </c>
      <c r="X11" t="s">
        <v>394</v>
      </c>
      <c r="Y11" t="s">
        <v>311</v>
      </c>
      <c r="Z11">
        <v>1</v>
      </c>
      <c r="AB11" t="s">
        <v>167</v>
      </c>
      <c r="AC11" t="s">
        <v>165</v>
      </c>
    </row>
    <row r="12" spans="1:29" ht="18" customHeight="1" x14ac:dyDescent="0.25">
      <c r="A12" t="s">
        <v>17</v>
      </c>
      <c r="B12">
        <v>178</v>
      </c>
      <c r="C12" t="s">
        <v>384</v>
      </c>
      <c r="D12" t="s">
        <v>25</v>
      </c>
      <c r="E12" t="s">
        <v>154</v>
      </c>
      <c r="F12" s="5">
        <v>46162.523981481485</v>
      </c>
      <c r="G12">
        <v>26</v>
      </c>
      <c r="H12" s="5"/>
      <c r="I12" t="s">
        <v>137</v>
      </c>
      <c r="J12" t="s">
        <v>138</v>
      </c>
      <c r="K12" t="s">
        <v>136</v>
      </c>
      <c r="L12" t="s">
        <v>166</v>
      </c>
      <c r="N12" t="s">
        <v>160</v>
      </c>
      <c r="O12" t="s">
        <v>16</v>
      </c>
      <c r="P12" t="s">
        <v>18</v>
      </c>
      <c r="R12" t="s">
        <v>118</v>
      </c>
      <c r="S12" t="s">
        <v>263</v>
      </c>
      <c r="T12"/>
      <c r="V12" t="s">
        <v>127</v>
      </c>
      <c r="W12" t="s">
        <v>267</v>
      </c>
      <c r="X12" t="s">
        <v>313</v>
      </c>
      <c r="Y12" t="s">
        <v>314</v>
      </c>
      <c r="Z12">
        <v>0</v>
      </c>
      <c r="AB12" t="s">
        <v>167</v>
      </c>
      <c r="AC12" t="s">
        <v>80</v>
      </c>
    </row>
    <row r="13" spans="1:29" ht="18" customHeight="1" x14ac:dyDescent="0.25">
      <c r="A13" t="s">
        <v>284</v>
      </c>
      <c r="B13">
        <v>177</v>
      </c>
      <c r="C13" t="s">
        <v>388</v>
      </c>
      <c r="D13" t="s">
        <v>15</v>
      </c>
      <c r="E13" t="s">
        <v>154</v>
      </c>
      <c r="F13" s="5">
        <v>46161.414849537039</v>
      </c>
      <c r="G13">
        <v>28</v>
      </c>
      <c r="H13" s="5">
        <v>46295</v>
      </c>
      <c r="I13" t="s">
        <v>52</v>
      </c>
      <c r="J13" t="s">
        <v>161</v>
      </c>
      <c r="K13" t="s">
        <v>168</v>
      </c>
      <c r="L13" t="s">
        <v>169</v>
      </c>
      <c r="N13" t="s">
        <v>160</v>
      </c>
      <c r="O13" t="s">
        <v>26</v>
      </c>
      <c r="P13" t="s">
        <v>29</v>
      </c>
      <c r="R13" t="s">
        <v>117</v>
      </c>
      <c r="S13" t="s">
        <v>262</v>
      </c>
      <c r="T13" t="s">
        <v>132</v>
      </c>
      <c r="U13" t="s">
        <v>23</v>
      </c>
      <c r="V13" t="s">
        <v>156</v>
      </c>
      <c r="W13" t="s">
        <v>315</v>
      </c>
      <c r="X13" t="s">
        <v>316</v>
      </c>
      <c r="Y13" t="s">
        <v>314</v>
      </c>
      <c r="Z13">
        <v>2</v>
      </c>
      <c r="AB13" t="s">
        <v>167</v>
      </c>
    </row>
    <row r="14" spans="1:29" ht="18" customHeight="1" x14ac:dyDescent="0.25">
      <c r="A14" t="s">
        <v>284</v>
      </c>
      <c r="B14">
        <v>176</v>
      </c>
      <c r="C14" t="s">
        <v>388</v>
      </c>
      <c r="D14" t="s">
        <v>25</v>
      </c>
      <c r="E14" t="s">
        <v>154</v>
      </c>
      <c r="F14" s="5">
        <v>46156.552812499998</v>
      </c>
      <c r="G14">
        <v>32</v>
      </c>
      <c r="H14" s="5">
        <v>46176</v>
      </c>
      <c r="I14" t="s">
        <v>56</v>
      </c>
      <c r="J14" t="s">
        <v>171</v>
      </c>
      <c r="K14" t="s">
        <v>128</v>
      </c>
      <c r="L14" t="s">
        <v>170</v>
      </c>
      <c r="M14" t="s">
        <v>317</v>
      </c>
      <c r="N14" t="s">
        <v>50</v>
      </c>
      <c r="O14" t="s">
        <v>26</v>
      </c>
      <c r="P14" t="s">
        <v>29</v>
      </c>
      <c r="R14" t="s">
        <v>115</v>
      </c>
      <c r="S14" t="s">
        <v>262</v>
      </c>
      <c r="T14"/>
      <c r="U14" t="s">
        <v>32</v>
      </c>
      <c r="V14" t="s">
        <v>156</v>
      </c>
      <c r="W14" t="s">
        <v>264</v>
      </c>
      <c r="X14" t="s">
        <v>350</v>
      </c>
      <c r="Y14" t="s">
        <v>318</v>
      </c>
      <c r="Z14">
        <v>2</v>
      </c>
      <c r="AB14" t="s">
        <v>167</v>
      </c>
      <c r="AC14" t="s">
        <v>80</v>
      </c>
    </row>
    <row r="15" spans="1:29" ht="18" customHeight="1" x14ac:dyDescent="0.25">
      <c r="A15" t="s">
        <v>308</v>
      </c>
      <c r="B15">
        <v>173</v>
      </c>
      <c r="C15" t="s">
        <v>384</v>
      </c>
      <c r="D15" t="s">
        <v>15</v>
      </c>
      <c r="E15" t="s">
        <v>154</v>
      </c>
      <c r="F15" s="5">
        <v>46208.678101851852</v>
      </c>
      <c r="G15">
        <v>39</v>
      </c>
      <c r="H15" s="5"/>
      <c r="I15" t="s">
        <v>130</v>
      </c>
      <c r="J15" t="s">
        <v>173</v>
      </c>
      <c r="K15" t="s">
        <v>129</v>
      </c>
      <c r="L15" t="s">
        <v>172</v>
      </c>
      <c r="M15" t="s">
        <v>277</v>
      </c>
      <c r="N15" t="s">
        <v>160</v>
      </c>
      <c r="O15" t="s">
        <v>26</v>
      </c>
      <c r="P15" t="s">
        <v>29</v>
      </c>
      <c r="R15" t="s">
        <v>118</v>
      </c>
      <c r="S15" t="s">
        <v>263</v>
      </c>
      <c r="T15"/>
      <c r="V15" t="s">
        <v>127</v>
      </c>
      <c r="W15"/>
      <c r="X15" t="s">
        <v>321</v>
      </c>
      <c r="Y15" t="s">
        <v>322</v>
      </c>
      <c r="Z15">
        <v>1</v>
      </c>
      <c r="AB15" t="s">
        <v>167</v>
      </c>
    </row>
    <row r="16" spans="1:29" ht="18" customHeight="1" x14ac:dyDescent="0.25">
      <c r="A16" t="s">
        <v>308</v>
      </c>
      <c r="B16">
        <v>172</v>
      </c>
      <c r="C16" t="s">
        <v>388</v>
      </c>
      <c r="D16" t="s">
        <v>15</v>
      </c>
      <c r="E16" t="s">
        <v>154</v>
      </c>
      <c r="F16" s="5">
        <v>46208.363530092596</v>
      </c>
      <c r="G16">
        <v>40</v>
      </c>
      <c r="H16" s="5">
        <v>46174</v>
      </c>
      <c r="I16" t="s">
        <v>122</v>
      </c>
      <c r="J16" t="s">
        <v>176</v>
      </c>
      <c r="K16" t="s">
        <v>174</v>
      </c>
      <c r="L16" t="s">
        <v>175</v>
      </c>
      <c r="N16" t="s">
        <v>160</v>
      </c>
      <c r="O16" t="s">
        <v>26</v>
      </c>
      <c r="P16" t="s">
        <v>29</v>
      </c>
      <c r="R16" t="s">
        <v>115</v>
      </c>
      <c r="S16" t="s">
        <v>262</v>
      </c>
      <c r="T16" t="s">
        <v>177</v>
      </c>
      <c r="U16" t="s">
        <v>23</v>
      </c>
      <c r="V16" t="s">
        <v>156</v>
      </c>
      <c r="W16"/>
      <c r="X16" t="s">
        <v>321</v>
      </c>
      <c r="Y16" t="s">
        <v>323</v>
      </c>
      <c r="Z16">
        <v>1</v>
      </c>
      <c r="AB16" t="s">
        <v>167</v>
      </c>
    </row>
    <row r="17" spans="1:28" ht="18" customHeight="1" x14ac:dyDescent="0.25">
      <c r="A17" t="s">
        <v>308</v>
      </c>
      <c r="B17">
        <v>171</v>
      </c>
      <c r="C17" t="s">
        <v>384</v>
      </c>
      <c r="D17" t="s">
        <v>15</v>
      </c>
      <c r="E17" t="s">
        <v>154</v>
      </c>
      <c r="F17" s="5">
        <v>46134.547951388886</v>
      </c>
      <c r="G17">
        <v>55</v>
      </c>
      <c r="H17" s="5"/>
      <c r="I17" t="s">
        <v>111</v>
      </c>
      <c r="J17" t="s">
        <v>180</v>
      </c>
      <c r="K17" t="s">
        <v>373</v>
      </c>
      <c r="L17" t="s">
        <v>178</v>
      </c>
      <c r="M17" t="s">
        <v>179</v>
      </c>
      <c r="N17" t="s">
        <v>160</v>
      </c>
      <c r="O17" t="s">
        <v>26</v>
      </c>
      <c r="P17" t="s">
        <v>34</v>
      </c>
      <c r="R17" t="s">
        <v>115</v>
      </c>
      <c r="S17" t="s">
        <v>263</v>
      </c>
      <c r="T17"/>
      <c r="V17" t="s">
        <v>127</v>
      </c>
      <c r="W17"/>
      <c r="X17" t="s">
        <v>395</v>
      </c>
      <c r="Y17" t="s">
        <v>323</v>
      </c>
      <c r="Z17">
        <v>0</v>
      </c>
      <c r="AB17" t="s">
        <v>167</v>
      </c>
    </row>
    <row r="18" spans="1:28" ht="18" customHeight="1" x14ac:dyDescent="0.25">
      <c r="A18" t="s">
        <v>284</v>
      </c>
      <c r="B18">
        <v>169</v>
      </c>
      <c r="C18" t="s">
        <v>388</v>
      </c>
      <c r="D18" t="s">
        <v>25</v>
      </c>
      <c r="E18" t="s">
        <v>154</v>
      </c>
      <c r="F18" s="5">
        <v>46126.64135416667</v>
      </c>
      <c r="G18">
        <v>63</v>
      </c>
      <c r="H18" s="5">
        <v>46245</v>
      </c>
      <c r="I18" t="s">
        <v>83</v>
      </c>
      <c r="J18" t="s">
        <v>183</v>
      </c>
      <c r="K18" t="s">
        <v>84</v>
      </c>
      <c r="L18" t="s">
        <v>181</v>
      </c>
      <c r="M18" t="s">
        <v>182</v>
      </c>
      <c r="N18" t="s">
        <v>50</v>
      </c>
      <c r="O18" t="s">
        <v>26</v>
      </c>
      <c r="P18" t="s">
        <v>29</v>
      </c>
      <c r="R18" t="s">
        <v>118</v>
      </c>
      <c r="S18" t="s">
        <v>263</v>
      </c>
      <c r="T18"/>
      <c r="V18" t="s">
        <v>156</v>
      </c>
      <c r="W18" t="s">
        <v>315</v>
      </c>
      <c r="X18" t="s">
        <v>352</v>
      </c>
      <c r="Y18" t="s">
        <v>325</v>
      </c>
      <c r="Z18">
        <v>1</v>
      </c>
      <c r="AB18" t="s">
        <v>167</v>
      </c>
    </row>
    <row r="19" spans="1:28" ht="18" customHeight="1" x14ac:dyDescent="0.25">
      <c r="A19" t="s">
        <v>284</v>
      </c>
      <c r="B19">
        <v>168</v>
      </c>
      <c r="C19" t="s">
        <v>388</v>
      </c>
      <c r="D19" t="s">
        <v>25</v>
      </c>
      <c r="E19" t="s">
        <v>154</v>
      </c>
      <c r="F19" s="5">
        <v>46299.493877314817</v>
      </c>
      <c r="G19">
        <v>67</v>
      </c>
      <c r="H19" s="5">
        <v>46239</v>
      </c>
      <c r="I19" t="s">
        <v>52</v>
      </c>
      <c r="J19" t="s">
        <v>161</v>
      </c>
      <c r="K19" t="s">
        <v>184</v>
      </c>
      <c r="L19" t="s">
        <v>185</v>
      </c>
      <c r="N19" t="s">
        <v>31</v>
      </c>
      <c r="O19" t="s">
        <v>26</v>
      </c>
      <c r="P19" t="s">
        <v>29</v>
      </c>
      <c r="R19" t="s">
        <v>117</v>
      </c>
      <c r="S19" t="s">
        <v>262</v>
      </c>
      <c r="T19" t="s">
        <v>123</v>
      </c>
      <c r="V19" t="s">
        <v>156</v>
      </c>
      <c r="W19" t="s">
        <v>315</v>
      </c>
      <c r="X19" t="s">
        <v>353</v>
      </c>
      <c r="Y19" t="s">
        <v>326</v>
      </c>
      <c r="Z19">
        <v>1</v>
      </c>
      <c r="AB19" t="s">
        <v>167</v>
      </c>
    </row>
    <row r="20" spans="1:28" ht="18" customHeight="1" x14ac:dyDescent="0.25">
      <c r="A20" t="s">
        <v>284</v>
      </c>
      <c r="B20">
        <v>167</v>
      </c>
      <c r="C20" t="s">
        <v>388</v>
      </c>
      <c r="D20" t="s">
        <v>15</v>
      </c>
      <c r="E20" t="s">
        <v>154</v>
      </c>
      <c r="F20" s="5">
        <v>46207.663252314815</v>
      </c>
      <c r="G20">
        <v>70</v>
      </c>
      <c r="H20" s="5">
        <v>46356</v>
      </c>
      <c r="I20" t="s">
        <v>81</v>
      </c>
      <c r="J20" t="s">
        <v>171</v>
      </c>
      <c r="K20" t="s">
        <v>82</v>
      </c>
      <c r="L20" t="s">
        <v>186</v>
      </c>
      <c r="N20" t="s">
        <v>160</v>
      </c>
      <c r="O20" t="s">
        <v>26</v>
      </c>
      <c r="P20" t="s">
        <v>29</v>
      </c>
      <c r="R20" t="s">
        <v>115</v>
      </c>
      <c r="S20" t="s">
        <v>263</v>
      </c>
      <c r="T20"/>
      <c r="V20" t="s">
        <v>156</v>
      </c>
      <c r="W20" t="s">
        <v>315</v>
      </c>
      <c r="X20" t="s">
        <v>327</v>
      </c>
      <c r="Y20" t="s">
        <v>326</v>
      </c>
      <c r="Z20">
        <v>1</v>
      </c>
      <c r="AB20" t="s">
        <v>167</v>
      </c>
    </row>
    <row r="21" spans="1:28" ht="18" customHeight="1" x14ac:dyDescent="0.25">
      <c r="A21" t="s">
        <v>67</v>
      </c>
      <c r="B21">
        <v>166</v>
      </c>
      <c r="C21" t="s">
        <v>384</v>
      </c>
      <c r="D21" t="s">
        <v>15</v>
      </c>
      <c r="E21" t="s">
        <v>154</v>
      </c>
      <c r="F21" s="5">
        <v>46057.59138888889</v>
      </c>
      <c r="G21">
        <v>75</v>
      </c>
      <c r="H21" s="5"/>
      <c r="I21" t="s">
        <v>79</v>
      </c>
      <c r="J21" t="s">
        <v>80</v>
      </c>
      <c r="K21" t="s">
        <v>187</v>
      </c>
      <c r="L21" t="s">
        <v>188</v>
      </c>
      <c r="N21" t="s">
        <v>160</v>
      </c>
      <c r="O21" t="s">
        <v>16</v>
      </c>
      <c r="P21" t="s">
        <v>18</v>
      </c>
      <c r="R21" t="s">
        <v>115</v>
      </c>
      <c r="S21" t="s">
        <v>263</v>
      </c>
      <c r="T21"/>
      <c r="V21" t="s">
        <v>127</v>
      </c>
      <c r="W21"/>
      <c r="X21" t="s">
        <v>321</v>
      </c>
      <c r="Y21" t="s">
        <v>328</v>
      </c>
      <c r="Z21">
        <v>6</v>
      </c>
      <c r="AB21" t="s">
        <v>167</v>
      </c>
    </row>
    <row r="22" spans="1:28" ht="18" customHeight="1" x14ac:dyDescent="0.25">
      <c r="A22" t="s">
        <v>284</v>
      </c>
      <c r="B22">
        <v>164</v>
      </c>
      <c r="C22" t="s">
        <v>388</v>
      </c>
      <c r="D22" t="s">
        <v>15</v>
      </c>
      <c r="E22" t="s">
        <v>154</v>
      </c>
      <c r="F22" s="5">
        <v>46106.468090277776</v>
      </c>
      <c r="G22">
        <v>83</v>
      </c>
      <c r="H22" s="5">
        <v>46259</v>
      </c>
      <c r="I22" t="s">
        <v>28</v>
      </c>
      <c r="J22" t="s">
        <v>30</v>
      </c>
      <c r="K22" t="s">
        <v>94</v>
      </c>
      <c r="L22" t="s">
        <v>189</v>
      </c>
      <c r="N22" t="s">
        <v>31</v>
      </c>
      <c r="O22" t="s">
        <v>26</v>
      </c>
      <c r="P22" t="s">
        <v>190</v>
      </c>
      <c r="R22" t="s">
        <v>115</v>
      </c>
      <c r="S22" t="s">
        <v>263</v>
      </c>
      <c r="T22"/>
      <c r="V22" t="s">
        <v>156</v>
      </c>
      <c r="W22" t="s">
        <v>315</v>
      </c>
      <c r="X22" t="s">
        <v>330</v>
      </c>
      <c r="Y22" t="s">
        <v>331</v>
      </c>
      <c r="Z22">
        <v>0</v>
      </c>
      <c r="AB22" t="s">
        <v>167</v>
      </c>
    </row>
    <row r="23" spans="1:28" ht="18" customHeight="1" x14ac:dyDescent="0.25">
      <c r="A23" t="s">
        <v>284</v>
      </c>
      <c r="B23">
        <v>154</v>
      </c>
      <c r="C23" t="s">
        <v>384</v>
      </c>
      <c r="D23" t="s">
        <v>15</v>
      </c>
      <c r="E23" t="s">
        <v>154</v>
      </c>
      <c r="F23" s="5">
        <v>46176.398680555554</v>
      </c>
      <c r="G23">
        <v>102</v>
      </c>
      <c r="H23" s="5"/>
      <c r="I23" t="s">
        <v>28</v>
      </c>
      <c r="J23" t="s">
        <v>30</v>
      </c>
      <c r="K23" t="s">
        <v>191</v>
      </c>
      <c r="L23" t="s">
        <v>192</v>
      </c>
      <c r="N23" t="s">
        <v>160</v>
      </c>
      <c r="O23" t="s">
        <v>26</v>
      </c>
      <c r="P23" t="s">
        <v>29</v>
      </c>
      <c r="R23" t="s">
        <v>115</v>
      </c>
      <c r="S23" t="s">
        <v>263</v>
      </c>
      <c r="T23"/>
      <c r="V23" t="s">
        <v>127</v>
      </c>
      <c r="W23"/>
      <c r="X23" t="s">
        <v>321</v>
      </c>
      <c r="Y23" t="s">
        <v>341</v>
      </c>
      <c r="Z23">
        <v>1</v>
      </c>
      <c r="AB23" t="s">
        <v>167</v>
      </c>
    </row>
    <row r="24" spans="1:28" ht="18" customHeight="1" x14ac:dyDescent="0.25">
      <c r="A24" t="s">
        <v>17</v>
      </c>
      <c r="B24">
        <v>150</v>
      </c>
      <c r="C24" t="s">
        <v>388</v>
      </c>
      <c r="D24" t="s">
        <v>15</v>
      </c>
      <c r="E24" t="s">
        <v>154</v>
      </c>
      <c r="F24" s="5">
        <v>46069.424421296295</v>
      </c>
      <c r="G24">
        <v>119</v>
      </c>
      <c r="H24" s="5">
        <v>46192</v>
      </c>
      <c r="I24" t="s">
        <v>43</v>
      </c>
      <c r="J24" t="s">
        <v>261</v>
      </c>
      <c r="K24" t="s">
        <v>131</v>
      </c>
      <c r="L24" t="s">
        <v>193</v>
      </c>
      <c r="N24" t="s">
        <v>50</v>
      </c>
      <c r="O24" t="s">
        <v>16</v>
      </c>
      <c r="P24" t="s">
        <v>29</v>
      </c>
      <c r="R24" t="s">
        <v>117</v>
      </c>
      <c r="S24" t="s">
        <v>262</v>
      </c>
      <c r="T24" t="s">
        <v>76</v>
      </c>
      <c r="U24" t="s">
        <v>23</v>
      </c>
      <c r="V24" t="s">
        <v>156</v>
      </c>
      <c r="W24" t="s">
        <v>268</v>
      </c>
      <c r="X24" t="s">
        <v>321</v>
      </c>
      <c r="Y24" t="s">
        <v>345</v>
      </c>
      <c r="Z24">
        <v>2</v>
      </c>
      <c r="AB24" t="s">
        <v>167</v>
      </c>
    </row>
    <row r="25" spans="1:28" ht="18" customHeight="1" x14ac:dyDescent="0.25">
      <c r="A25" t="s">
        <v>308</v>
      </c>
      <c r="B25">
        <v>149</v>
      </c>
      <c r="C25" t="s">
        <v>384</v>
      </c>
      <c r="D25" t="s">
        <v>15</v>
      </c>
      <c r="E25" t="s">
        <v>154</v>
      </c>
      <c r="F25" s="5">
        <v>46358.492569444446</v>
      </c>
      <c r="G25">
        <v>124</v>
      </c>
      <c r="H25" s="5"/>
      <c r="I25" t="s">
        <v>42</v>
      </c>
      <c r="J25" t="s">
        <v>195</v>
      </c>
      <c r="K25" t="s">
        <v>73</v>
      </c>
      <c r="L25" t="s">
        <v>194</v>
      </c>
      <c r="M25" t="s">
        <v>74</v>
      </c>
      <c r="N25" t="s">
        <v>31</v>
      </c>
      <c r="O25" t="s">
        <v>26</v>
      </c>
      <c r="P25" t="s">
        <v>29</v>
      </c>
      <c r="R25" t="s">
        <v>118</v>
      </c>
      <c r="S25" t="s">
        <v>262</v>
      </c>
      <c r="T25" t="s">
        <v>75</v>
      </c>
      <c r="U25" t="s">
        <v>23</v>
      </c>
      <c r="V25" t="s">
        <v>127</v>
      </c>
      <c r="W25"/>
      <c r="X25" t="s">
        <v>366</v>
      </c>
      <c r="Y25" t="s">
        <v>345</v>
      </c>
      <c r="Z25">
        <v>3</v>
      </c>
      <c r="AB25" t="s">
        <v>167</v>
      </c>
    </row>
    <row r="26" spans="1:28" ht="18" customHeight="1" x14ac:dyDescent="0.25">
      <c r="A26" t="s">
        <v>17</v>
      </c>
      <c r="B26">
        <v>148</v>
      </c>
      <c r="C26" t="s">
        <v>388</v>
      </c>
      <c r="D26" t="s">
        <v>15</v>
      </c>
      <c r="E26" t="s">
        <v>154</v>
      </c>
      <c r="F26" s="5">
        <v>46358.484942129631</v>
      </c>
      <c r="G26">
        <v>123</v>
      </c>
      <c r="H26" s="5">
        <v>46184</v>
      </c>
      <c r="I26" t="s">
        <v>20</v>
      </c>
      <c r="J26" t="s">
        <v>239</v>
      </c>
      <c r="K26" t="s">
        <v>196</v>
      </c>
      <c r="L26" t="s">
        <v>197</v>
      </c>
      <c r="M26" t="s">
        <v>198</v>
      </c>
      <c r="N26" t="s">
        <v>160</v>
      </c>
      <c r="O26" t="s">
        <v>16</v>
      </c>
      <c r="P26" t="s">
        <v>18</v>
      </c>
      <c r="R26" t="s">
        <v>115</v>
      </c>
      <c r="S26" t="s">
        <v>263</v>
      </c>
      <c r="T26"/>
      <c r="V26" t="s">
        <v>156</v>
      </c>
      <c r="W26" t="s">
        <v>269</v>
      </c>
      <c r="X26" t="s">
        <v>339</v>
      </c>
      <c r="Y26" t="s">
        <v>346</v>
      </c>
      <c r="Z26">
        <v>3</v>
      </c>
      <c r="AB26" t="s">
        <v>167</v>
      </c>
    </row>
    <row r="27" spans="1:28" ht="18" customHeight="1" x14ac:dyDescent="0.25">
      <c r="A27" t="s">
        <v>308</v>
      </c>
      <c r="B27">
        <v>147</v>
      </c>
      <c r="C27" t="s">
        <v>384</v>
      </c>
      <c r="D27" t="s">
        <v>15</v>
      </c>
      <c r="E27" t="s">
        <v>154</v>
      </c>
      <c r="F27" s="5">
        <v>46358.473263888889</v>
      </c>
      <c r="G27">
        <v>124</v>
      </c>
      <c r="H27" s="5"/>
      <c r="I27" t="s">
        <v>78</v>
      </c>
      <c r="J27" t="s">
        <v>200</v>
      </c>
      <c r="K27" t="s">
        <v>199</v>
      </c>
      <c r="L27" t="s">
        <v>72</v>
      </c>
      <c r="N27" t="s">
        <v>160</v>
      </c>
      <c r="O27" t="s">
        <v>26</v>
      </c>
      <c r="P27" t="s">
        <v>29</v>
      </c>
      <c r="R27" t="s">
        <v>115</v>
      </c>
      <c r="S27" t="s">
        <v>263</v>
      </c>
      <c r="T27"/>
      <c r="V27" t="s">
        <v>156</v>
      </c>
      <c r="W27" t="s">
        <v>367</v>
      </c>
      <c r="X27" t="s">
        <v>368</v>
      </c>
      <c r="Y27" t="s">
        <v>346</v>
      </c>
      <c r="Z27">
        <v>2</v>
      </c>
      <c r="AB27" t="s">
        <v>167</v>
      </c>
    </row>
    <row r="28" spans="1:28" ht="18" customHeight="1" x14ac:dyDescent="0.25">
      <c r="A28" t="s">
        <v>67</v>
      </c>
      <c r="B28">
        <v>146</v>
      </c>
      <c r="C28" t="s">
        <v>384</v>
      </c>
      <c r="D28" t="s">
        <v>15</v>
      </c>
      <c r="E28" t="s">
        <v>154</v>
      </c>
      <c r="F28" s="5">
        <v>46297.688136574077</v>
      </c>
      <c r="G28">
        <v>126</v>
      </c>
      <c r="H28" s="5"/>
      <c r="I28" t="s">
        <v>137</v>
      </c>
      <c r="J28" t="s">
        <v>17</v>
      </c>
      <c r="K28" t="s">
        <v>124</v>
      </c>
      <c r="L28" t="s">
        <v>201</v>
      </c>
      <c r="M28" t="s">
        <v>202</v>
      </c>
      <c r="N28" t="s">
        <v>160</v>
      </c>
      <c r="O28" t="s">
        <v>16</v>
      </c>
      <c r="P28" t="s">
        <v>34</v>
      </c>
      <c r="R28" t="s">
        <v>115</v>
      </c>
      <c r="S28" t="s">
        <v>263</v>
      </c>
      <c r="T28"/>
      <c r="U28" t="s">
        <v>19</v>
      </c>
      <c r="V28" t="s">
        <v>127</v>
      </c>
      <c r="W28"/>
      <c r="X28" t="s">
        <v>339</v>
      </c>
      <c r="Y28" t="s">
        <v>347</v>
      </c>
      <c r="Z28">
        <v>1</v>
      </c>
      <c r="AB28" t="s">
        <v>167</v>
      </c>
    </row>
    <row r="29" spans="1:28" ht="18" customHeight="1" x14ac:dyDescent="0.25">
      <c r="A29" t="s">
        <v>284</v>
      </c>
      <c r="B29">
        <v>145</v>
      </c>
      <c r="C29" t="s">
        <v>388</v>
      </c>
      <c r="D29" t="s">
        <v>25</v>
      </c>
      <c r="E29" t="s">
        <v>154</v>
      </c>
      <c r="F29" s="5">
        <v>46297.641087962962</v>
      </c>
      <c r="G29">
        <v>126</v>
      </c>
      <c r="H29" s="5">
        <v>46238</v>
      </c>
      <c r="I29" t="s">
        <v>45</v>
      </c>
      <c r="J29" t="s">
        <v>161</v>
      </c>
      <c r="K29" t="s">
        <v>68</v>
      </c>
      <c r="L29" t="s">
        <v>203</v>
      </c>
      <c r="M29" t="s">
        <v>69</v>
      </c>
      <c r="N29" t="s">
        <v>160</v>
      </c>
      <c r="O29" t="s">
        <v>26</v>
      </c>
      <c r="P29" t="s">
        <v>29</v>
      </c>
      <c r="R29" t="s">
        <v>118</v>
      </c>
      <c r="S29" t="s">
        <v>262</v>
      </c>
      <c r="T29" t="s">
        <v>70</v>
      </c>
      <c r="U29" t="s">
        <v>23</v>
      </c>
      <c r="V29" t="s">
        <v>156</v>
      </c>
      <c r="W29" t="s">
        <v>315</v>
      </c>
      <c r="X29" t="s">
        <v>357</v>
      </c>
      <c r="Y29" t="s">
        <v>347</v>
      </c>
      <c r="Z29">
        <v>1</v>
      </c>
      <c r="AB29" t="s">
        <v>167</v>
      </c>
    </row>
    <row r="30" spans="1:28" ht="18" customHeight="1" x14ac:dyDescent="0.25">
      <c r="A30" t="s">
        <v>67</v>
      </c>
      <c r="B30">
        <v>144</v>
      </c>
      <c r="C30" t="s">
        <v>384</v>
      </c>
      <c r="D30" t="s">
        <v>15</v>
      </c>
      <c r="E30" t="s">
        <v>154</v>
      </c>
      <c r="F30" s="5">
        <v>46175.420127314814</v>
      </c>
      <c r="G30">
        <v>129</v>
      </c>
      <c r="H30" s="5"/>
      <c r="I30" t="s">
        <v>78</v>
      </c>
      <c r="J30" t="s">
        <v>67</v>
      </c>
      <c r="K30" t="s">
        <v>251</v>
      </c>
      <c r="L30" t="s">
        <v>204</v>
      </c>
      <c r="N30" t="s">
        <v>31</v>
      </c>
      <c r="O30" t="s">
        <v>16</v>
      </c>
      <c r="P30" t="s">
        <v>34</v>
      </c>
      <c r="S30" t="s">
        <v>263</v>
      </c>
      <c r="T30"/>
      <c r="V30" t="s">
        <v>127</v>
      </c>
      <c r="W30"/>
      <c r="X30" t="s">
        <v>339</v>
      </c>
      <c r="Y30" t="s">
        <v>348</v>
      </c>
      <c r="Z30">
        <v>1</v>
      </c>
      <c r="AB30" t="s">
        <v>167</v>
      </c>
    </row>
    <row r="31" spans="1:28" ht="18" customHeight="1" x14ac:dyDescent="0.25">
      <c r="A31" t="s">
        <v>308</v>
      </c>
      <c r="B31">
        <v>142</v>
      </c>
      <c r="C31" t="s">
        <v>388</v>
      </c>
      <c r="D31" t="s">
        <v>15</v>
      </c>
      <c r="E31" t="s">
        <v>154</v>
      </c>
      <c r="F31" s="5">
        <v>46045.482106481482</v>
      </c>
      <c r="G31">
        <v>144</v>
      </c>
      <c r="H31" s="5">
        <v>46113</v>
      </c>
      <c r="I31" t="s">
        <v>207</v>
      </c>
      <c r="J31" t="s">
        <v>208</v>
      </c>
      <c r="K31" t="s">
        <v>65</v>
      </c>
      <c r="L31" t="s">
        <v>206</v>
      </c>
      <c r="M31" t="s">
        <v>66</v>
      </c>
      <c r="N31" t="s">
        <v>160</v>
      </c>
      <c r="O31" t="s">
        <v>26</v>
      </c>
      <c r="P31" t="s">
        <v>29</v>
      </c>
      <c r="R31" t="s">
        <v>118</v>
      </c>
      <c r="S31" t="s">
        <v>262</v>
      </c>
      <c r="T31" t="s">
        <v>209</v>
      </c>
      <c r="U31" t="s">
        <v>23</v>
      </c>
      <c r="V31" t="s">
        <v>156</v>
      </c>
      <c r="W31"/>
      <c r="X31" t="s">
        <v>339</v>
      </c>
      <c r="Y31" t="s">
        <v>344</v>
      </c>
      <c r="Z31">
        <v>2</v>
      </c>
      <c r="AB31" t="s">
        <v>167</v>
      </c>
    </row>
    <row r="32" spans="1:28" ht="18" customHeight="1" x14ac:dyDescent="0.25">
      <c r="A32" t="s">
        <v>284</v>
      </c>
      <c r="B32">
        <v>141</v>
      </c>
      <c r="C32" t="s">
        <v>388</v>
      </c>
      <c r="D32" t="s">
        <v>212</v>
      </c>
      <c r="E32" t="s">
        <v>154</v>
      </c>
      <c r="F32" s="5">
        <v>46043.653831018521</v>
      </c>
      <c r="G32">
        <v>145</v>
      </c>
      <c r="H32" s="5">
        <v>46230</v>
      </c>
      <c r="I32" t="s">
        <v>56</v>
      </c>
      <c r="J32" t="s">
        <v>171</v>
      </c>
      <c r="K32" t="s">
        <v>210</v>
      </c>
      <c r="L32" t="s">
        <v>211</v>
      </c>
      <c r="M32" t="s">
        <v>213</v>
      </c>
      <c r="N32" t="s">
        <v>50</v>
      </c>
      <c r="O32" t="s">
        <v>26</v>
      </c>
      <c r="P32" t="s">
        <v>29</v>
      </c>
      <c r="R32" t="s">
        <v>118</v>
      </c>
      <c r="S32" t="s">
        <v>263</v>
      </c>
      <c r="T32"/>
      <c r="V32" t="s">
        <v>156</v>
      </c>
      <c r="W32" t="s">
        <v>343</v>
      </c>
      <c r="X32" t="s">
        <v>369</v>
      </c>
      <c r="Y32" t="s">
        <v>344</v>
      </c>
      <c r="Z32">
        <v>2</v>
      </c>
      <c r="AB32" t="s">
        <v>167</v>
      </c>
    </row>
    <row r="33" spans="1:29" ht="18" customHeight="1" x14ac:dyDescent="0.25">
      <c r="A33" t="s">
        <v>17</v>
      </c>
      <c r="B33">
        <v>139</v>
      </c>
      <c r="C33" t="s">
        <v>388</v>
      </c>
      <c r="D33" t="s">
        <v>15</v>
      </c>
      <c r="E33" t="s">
        <v>154</v>
      </c>
      <c r="F33" s="5">
        <v>46037.631111111114</v>
      </c>
      <c r="G33">
        <v>151</v>
      </c>
      <c r="H33" s="5">
        <v>46184</v>
      </c>
      <c r="I33" t="s">
        <v>62</v>
      </c>
      <c r="J33" t="s">
        <v>216</v>
      </c>
      <c r="K33" t="s">
        <v>214</v>
      </c>
      <c r="L33" t="s">
        <v>215</v>
      </c>
      <c r="N33" t="s">
        <v>31</v>
      </c>
      <c r="O33" t="s">
        <v>16</v>
      </c>
      <c r="P33" t="s">
        <v>18</v>
      </c>
      <c r="R33" t="s">
        <v>115</v>
      </c>
      <c r="S33" t="s">
        <v>263</v>
      </c>
      <c r="T33"/>
      <c r="V33" t="s">
        <v>156</v>
      </c>
      <c r="W33" t="s">
        <v>270</v>
      </c>
      <c r="X33" t="s">
        <v>339</v>
      </c>
      <c r="Y33" t="s">
        <v>342</v>
      </c>
      <c r="Z33">
        <v>0</v>
      </c>
      <c r="AB33" t="s">
        <v>167</v>
      </c>
    </row>
    <row r="34" spans="1:29" ht="18" customHeight="1" x14ac:dyDescent="0.25">
      <c r="A34" t="s">
        <v>284</v>
      </c>
      <c r="B34">
        <v>138</v>
      </c>
      <c r="C34" t="s">
        <v>388</v>
      </c>
      <c r="D34" t="s">
        <v>39</v>
      </c>
      <c r="E34" t="s">
        <v>154</v>
      </c>
      <c r="F34" s="5">
        <v>46036.653136574074</v>
      </c>
      <c r="G34">
        <v>153</v>
      </c>
      <c r="H34" s="5">
        <v>46356</v>
      </c>
      <c r="I34" t="s">
        <v>61</v>
      </c>
      <c r="J34" t="s">
        <v>205</v>
      </c>
      <c r="K34" t="s">
        <v>217</v>
      </c>
      <c r="L34" t="s">
        <v>218</v>
      </c>
      <c r="M34" t="s">
        <v>219</v>
      </c>
      <c r="N34" t="s">
        <v>31</v>
      </c>
      <c r="O34" t="s">
        <v>26</v>
      </c>
      <c r="P34" t="s">
        <v>29</v>
      </c>
      <c r="R34" t="s">
        <v>115</v>
      </c>
      <c r="S34" t="s">
        <v>263</v>
      </c>
      <c r="T34"/>
      <c r="V34" t="s">
        <v>156</v>
      </c>
      <c r="W34" t="s">
        <v>315</v>
      </c>
      <c r="X34" t="s">
        <v>356</v>
      </c>
      <c r="Y34" t="s">
        <v>340</v>
      </c>
      <c r="Z34">
        <v>1</v>
      </c>
      <c r="AB34" t="s">
        <v>167</v>
      </c>
    </row>
    <row r="35" spans="1:29" ht="18" customHeight="1" x14ac:dyDescent="0.25">
      <c r="A35" t="s">
        <v>17</v>
      </c>
      <c r="B35">
        <v>137</v>
      </c>
      <c r="C35" t="s">
        <v>388</v>
      </c>
      <c r="D35" t="s">
        <v>15</v>
      </c>
      <c r="E35" t="s">
        <v>154</v>
      </c>
      <c r="F35" s="5">
        <v>46036.645462962966</v>
      </c>
      <c r="G35">
        <v>152</v>
      </c>
      <c r="H35" s="5">
        <v>46182</v>
      </c>
      <c r="I35" t="s">
        <v>56</v>
      </c>
      <c r="J35" t="s">
        <v>17</v>
      </c>
      <c r="K35" t="s">
        <v>58</v>
      </c>
      <c r="L35" t="s">
        <v>220</v>
      </c>
      <c r="M35" t="s">
        <v>59</v>
      </c>
      <c r="N35" t="s">
        <v>50</v>
      </c>
      <c r="O35" t="s">
        <v>16</v>
      </c>
      <c r="P35" t="s">
        <v>34</v>
      </c>
      <c r="R35" t="s">
        <v>117</v>
      </c>
      <c r="S35" t="s">
        <v>263</v>
      </c>
      <c r="T35" t="s">
        <v>60</v>
      </c>
      <c r="V35" t="s">
        <v>156</v>
      </c>
      <c r="W35" t="s">
        <v>271</v>
      </c>
      <c r="X35" t="s">
        <v>339</v>
      </c>
      <c r="Y35" t="s">
        <v>340</v>
      </c>
      <c r="Z35">
        <v>0</v>
      </c>
      <c r="AB35" t="s">
        <v>167</v>
      </c>
    </row>
    <row r="36" spans="1:29" ht="18" customHeight="1" x14ac:dyDescent="0.25">
      <c r="A36" t="s">
        <v>284</v>
      </c>
      <c r="B36">
        <v>136</v>
      </c>
      <c r="C36" t="s">
        <v>388</v>
      </c>
      <c r="D36" t="s">
        <v>39</v>
      </c>
      <c r="E36" t="s">
        <v>154</v>
      </c>
      <c r="F36" s="5">
        <v>46036.568194444444</v>
      </c>
      <c r="G36">
        <v>153</v>
      </c>
      <c r="H36" s="5">
        <v>46324</v>
      </c>
      <c r="I36" t="s">
        <v>56</v>
      </c>
      <c r="J36" t="s">
        <v>171</v>
      </c>
      <c r="K36" t="s">
        <v>221</v>
      </c>
      <c r="L36" t="s">
        <v>222</v>
      </c>
      <c r="M36" t="s">
        <v>57</v>
      </c>
      <c r="N36" t="s">
        <v>160</v>
      </c>
      <c r="O36" t="s">
        <v>26</v>
      </c>
      <c r="P36" t="s">
        <v>29</v>
      </c>
      <c r="R36" t="s">
        <v>115</v>
      </c>
      <c r="S36" t="s">
        <v>263</v>
      </c>
      <c r="T36"/>
      <c r="V36" t="s">
        <v>156</v>
      </c>
      <c r="W36" t="s">
        <v>315</v>
      </c>
      <c r="X36" t="s">
        <v>355</v>
      </c>
      <c r="Y36" t="s">
        <v>338</v>
      </c>
      <c r="Z36">
        <v>3</v>
      </c>
      <c r="AB36" t="s">
        <v>167</v>
      </c>
    </row>
    <row r="37" spans="1:29" ht="18" customHeight="1" x14ac:dyDescent="0.25">
      <c r="A37" t="s">
        <v>284</v>
      </c>
      <c r="B37">
        <v>135</v>
      </c>
      <c r="C37" t="s">
        <v>388</v>
      </c>
      <c r="D37" t="s">
        <v>15</v>
      </c>
      <c r="E37" t="s">
        <v>154</v>
      </c>
      <c r="F37" s="5">
        <v>46036.561018518521</v>
      </c>
      <c r="G37">
        <v>153</v>
      </c>
      <c r="H37" s="5">
        <v>46295</v>
      </c>
      <c r="I37" t="s">
        <v>46</v>
      </c>
      <c r="J37" t="s">
        <v>171</v>
      </c>
      <c r="K37" t="s">
        <v>380</v>
      </c>
      <c r="L37" t="s">
        <v>51</v>
      </c>
      <c r="N37" t="s">
        <v>31</v>
      </c>
      <c r="O37" t="s">
        <v>26</v>
      </c>
      <c r="P37" t="s">
        <v>29</v>
      </c>
      <c r="R37" t="s">
        <v>115</v>
      </c>
      <c r="S37" t="s">
        <v>263</v>
      </c>
      <c r="T37"/>
      <c r="V37" t="s">
        <v>156</v>
      </c>
      <c r="W37" t="s">
        <v>315</v>
      </c>
      <c r="X37" t="s">
        <v>396</v>
      </c>
      <c r="Y37" t="s">
        <v>338</v>
      </c>
      <c r="Z37">
        <v>0</v>
      </c>
      <c r="AB37" t="s">
        <v>167</v>
      </c>
    </row>
    <row r="38" spans="1:29" ht="18" customHeight="1" x14ac:dyDescent="0.25">
      <c r="A38" t="s">
        <v>284</v>
      </c>
      <c r="B38">
        <v>134</v>
      </c>
      <c r="C38" t="s">
        <v>388</v>
      </c>
      <c r="D38" t="s">
        <v>15</v>
      </c>
      <c r="E38" t="s">
        <v>154</v>
      </c>
      <c r="F38" s="5">
        <v>46036.551608796297</v>
      </c>
      <c r="G38">
        <v>153</v>
      </c>
      <c r="H38" s="5">
        <v>46203</v>
      </c>
      <c r="I38" t="s">
        <v>52</v>
      </c>
      <c r="J38" t="s">
        <v>161</v>
      </c>
      <c r="K38" t="s">
        <v>53</v>
      </c>
      <c r="L38" t="s">
        <v>223</v>
      </c>
      <c r="M38" t="s">
        <v>54</v>
      </c>
      <c r="N38" t="s">
        <v>31</v>
      </c>
      <c r="O38" t="s">
        <v>26</v>
      </c>
      <c r="P38" t="s">
        <v>29</v>
      </c>
      <c r="R38" t="s">
        <v>115</v>
      </c>
      <c r="S38" t="s">
        <v>262</v>
      </c>
      <c r="T38" t="s">
        <v>224</v>
      </c>
      <c r="U38" t="s">
        <v>32</v>
      </c>
      <c r="V38" t="s">
        <v>156</v>
      </c>
      <c r="W38" t="s">
        <v>315</v>
      </c>
      <c r="X38" t="s">
        <v>336</v>
      </c>
      <c r="Y38" t="s">
        <v>337</v>
      </c>
      <c r="Z38">
        <v>0</v>
      </c>
      <c r="AB38" t="s">
        <v>167</v>
      </c>
    </row>
    <row r="39" spans="1:29" ht="18" customHeight="1" x14ac:dyDescent="0.25">
      <c r="A39" t="s">
        <v>17</v>
      </c>
      <c r="B39">
        <v>132</v>
      </c>
      <c r="C39" t="s">
        <v>388</v>
      </c>
      <c r="D39" t="s">
        <v>15</v>
      </c>
      <c r="E39" t="s">
        <v>154</v>
      </c>
      <c r="F39" s="5">
        <v>46204.410358796296</v>
      </c>
      <c r="G39">
        <v>159</v>
      </c>
      <c r="H39" s="5">
        <v>46182</v>
      </c>
      <c r="I39" t="s">
        <v>20</v>
      </c>
      <c r="J39" t="s">
        <v>17</v>
      </c>
      <c r="K39" t="s">
        <v>225</v>
      </c>
      <c r="L39" t="s">
        <v>226</v>
      </c>
      <c r="M39" t="s">
        <v>227</v>
      </c>
      <c r="N39" t="s">
        <v>31</v>
      </c>
      <c r="O39" t="s">
        <v>16</v>
      </c>
      <c r="P39" t="s">
        <v>18</v>
      </c>
      <c r="R39" t="s">
        <v>115</v>
      </c>
      <c r="S39" t="s">
        <v>263</v>
      </c>
      <c r="T39"/>
      <c r="V39" t="s">
        <v>156</v>
      </c>
      <c r="W39" t="s">
        <v>272</v>
      </c>
      <c r="X39" t="s">
        <v>299</v>
      </c>
      <c r="Y39" t="s">
        <v>335</v>
      </c>
      <c r="Z39">
        <v>1</v>
      </c>
      <c r="AB39" t="s">
        <v>167</v>
      </c>
      <c r="AC39" t="s">
        <v>80</v>
      </c>
    </row>
    <row r="40" spans="1:29" ht="18" customHeight="1" x14ac:dyDescent="0.25">
      <c r="A40" t="s">
        <v>284</v>
      </c>
      <c r="B40">
        <v>130</v>
      </c>
      <c r="C40" t="s">
        <v>388</v>
      </c>
      <c r="D40" t="s">
        <v>39</v>
      </c>
      <c r="E40" t="s">
        <v>154</v>
      </c>
      <c r="F40" s="5">
        <v>46054.40761574074</v>
      </c>
      <c r="G40">
        <v>165</v>
      </c>
      <c r="H40" s="5">
        <v>46355</v>
      </c>
      <c r="I40" t="s">
        <v>46</v>
      </c>
      <c r="J40" t="s">
        <v>231</v>
      </c>
      <c r="K40" t="s">
        <v>228</v>
      </c>
      <c r="L40" t="s">
        <v>229</v>
      </c>
      <c r="M40" t="s">
        <v>48</v>
      </c>
      <c r="N40" t="s">
        <v>160</v>
      </c>
      <c r="O40" t="s">
        <v>26</v>
      </c>
      <c r="P40" t="s">
        <v>230</v>
      </c>
      <c r="R40" t="s">
        <v>116</v>
      </c>
      <c r="S40" t="s">
        <v>262</v>
      </c>
      <c r="T40" t="s">
        <v>232</v>
      </c>
      <c r="U40" t="s">
        <v>23</v>
      </c>
      <c r="V40" t="s">
        <v>156</v>
      </c>
      <c r="W40" t="s">
        <v>315</v>
      </c>
      <c r="X40" t="s">
        <v>354</v>
      </c>
      <c r="Y40" t="s">
        <v>334</v>
      </c>
      <c r="Z40">
        <v>0</v>
      </c>
      <c r="AB40" t="s">
        <v>167</v>
      </c>
    </row>
    <row r="41" spans="1:29" ht="18" customHeight="1" x14ac:dyDescent="0.25">
      <c r="A41" t="s">
        <v>284</v>
      </c>
      <c r="B41">
        <v>129</v>
      </c>
      <c r="C41" t="s">
        <v>388</v>
      </c>
      <c r="D41" t="s">
        <v>15</v>
      </c>
      <c r="E41" t="s">
        <v>154</v>
      </c>
      <c r="F41" s="5">
        <v>45973.532002314816</v>
      </c>
      <c r="G41">
        <v>187</v>
      </c>
      <c r="H41" s="5">
        <v>46280</v>
      </c>
      <c r="I41" t="s">
        <v>46</v>
      </c>
      <c r="J41" t="s">
        <v>161</v>
      </c>
      <c r="K41" t="s">
        <v>233</v>
      </c>
      <c r="L41" t="s">
        <v>234</v>
      </c>
      <c r="M41" t="s">
        <v>235</v>
      </c>
      <c r="N41" t="s">
        <v>160</v>
      </c>
      <c r="O41" t="s">
        <v>26</v>
      </c>
      <c r="P41" t="s">
        <v>29</v>
      </c>
      <c r="R41" t="s">
        <v>117</v>
      </c>
      <c r="S41" t="s">
        <v>262</v>
      </c>
      <c r="T41" t="s">
        <v>47</v>
      </c>
      <c r="U41" t="s">
        <v>23</v>
      </c>
      <c r="V41" t="s">
        <v>156</v>
      </c>
      <c r="W41" t="s">
        <v>315</v>
      </c>
      <c r="X41" t="s">
        <v>333</v>
      </c>
      <c r="Y41" t="s">
        <v>334</v>
      </c>
      <c r="Z41">
        <v>0</v>
      </c>
      <c r="AB41" t="s">
        <v>167</v>
      </c>
    </row>
    <row r="42" spans="1:29" ht="18" customHeight="1" x14ac:dyDescent="0.25">
      <c r="A42" t="s">
        <v>17</v>
      </c>
      <c r="B42">
        <v>127</v>
      </c>
      <c r="C42" t="s">
        <v>388</v>
      </c>
      <c r="D42" t="s">
        <v>25</v>
      </c>
      <c r="E42" t="s">
        <v>154</v>
      </c>
      <c r="F42" s="5">
        <v>45975.467592592591</v>
      </c>
      <c r="G42">
        <v>213</v>
      </c>
      <c r="H42" s="5">
        <v>46184</v>
      </c>
      <c r="I42" t="s">
        <v>45</v>
      </c>
      <c r="J42" t="s">
        <v>239</v>
      </c>
      <c r="K42" t="s">
        <v>236</v>
      </c>
      <c r="L42" t="s">
        <v>237</v>
      </c>
      <c r="M42" t="s">
        <v>238</v>
      </c>
      <c r="N42" t="s">
        <v>160</v>
      </c>
      <c r="O42" t="s">
        <v>26</v>
      </c>
      <c r="P42" t="s">
        <v>18</v>
      </c>
      <c r="R42" t="s">
        <v>115</v>
      </c>
      <c r="S42" t="s">
        <v>263</v>
      </c>
      <c r="T42"/>
      <c r="V42" t="s">
        <v>156</v>
      </c>
      <c r="W42" t="s">
        <v>273</v>
      </c>
      <c r="X42" t="s">
        <v>299</v>
      </c>
      <c r="Y42" t="s">
        <v>332</v>
      </c>
      <c r="Z42">
        <v>1</v>
      </c>
      <c r="AB42" t="s">
        <v>167</v>
      </c>
      <c r="AC42" t="s">
        <v>274</v>
      </c>
    </row>
    <row r="43" spans="1:29" ht="18" customHeight="1" x14ac:dyDescent="0.25">
      <c r="A43" t="s">
        <v>284</v>
      </c>
      <c r="B43">
        <v>122</v>
      </c>
      <c r="C43" t="s">
        <v>384</v>
      </c>
      <c r="D43" t="s">
        <v>15</v>
      </c>
      <c r="E43" t="s">
        <v>154</v>
      </c>
      <c r="F43" s="5">
        <v>45786.474502314813</v>
      </c>
      <c r="G43">
        <v>284</v>
      </c>
      <c r="H43" s="5"/>
      <c r="I43" t="s">
        <v>43</v>
      </c>
      <c r="J43" t="s">
        <v>44</v>
      </c>
      <c r="K43" t="s">
        <v>240</v>
      </c>
      <c r="L43" t="s">
        <v>241</v>
      </c>
      <c r="M43" t="s">
        <v>242</v>
      </c>
      <c r="N43" t="s">
        <v>160</v>
      </c>
      <c r="O43" t="s">
        <v>26</v>
      </c>
      <c r="P43" t="s">
        <v>29</v>
      </c>
      <c r="R43" t="s">
        <v>117</v>
      </c>
      <c r="S43" t="s">
        <v>263</v>
      </c>
      <c r="T43"/>
      <c r="V43" t="s">
        <v>127</v>
      </c>
      <c r="W43"/>
      <c r="X43" t="s">
        <v>299</v>
      </c>
      <c r="Y43" t="s">
        <v>329</v>
      </c>
      <c r="Z43">
        <v>0</v>
      </c>
      <c r="AB43" t="s">
        <v>167</v>
      </c>
    </row>
    <row r="44" spans="1:29" ht="18" customHeight="1" x14ac:dyDescent="0.25">
      <c r="A44" t="s">
        <v>284</v>
      </c>
      <c r="B44">
        <v>120</v>
      </c>
      <c r="C44" t="s">
        <v>384</v>
      </c>
      <c r="D44" t="s">
        <v>39</v>
      </c>
      <c r="E44" t="s">
        <v>154</v>
      </c>
      <c r="F44" s="5">
        <v>45756.68513888889</v>
      </c>
      <c r="G44">
        <v>285</v>
      </c>
      <c r="H44" s="5"/>
      <c r="I44" t="s">
        <v>28</v>
      </c>
      <c r="J44" t="s">
        <v>30</v>
      </c>
      <c r="K44" t="s">
        <v>40</v>
      </c>
      <c r="L44" t="s">
        <v>243</v>
      </c>
      <c r="M44" t="s">
        <v>41</v>
      </c>
      <c r="N44" t="s">
        <v>31</v>
      </c>
      <c r="O44" t="s">
        <v>16</v>
      </c>
      <c r="P44" t="s">
        <v>29</v>
      </c>
      <c r="R44" t="s">
        <v>117</v>
      </c>
      <c r="S44" t="s">
        <v>263</v>
      </c>
      <c r="T44"/>
      <c r="U44" t="s">
        <v>19</v>
      </c>
      <c r="V44" t="s">
        <v>127</v>
      </c>
      <c r="W44"/>
      <c r="X44" t="s">
        <v>299</v>
      </c>
      <c r="Y44" t="s">
        <v>324</v>
      </c>
      <c r="Z44">
        <v>1</v>
      </c>
      <c r="AB44" t="s">
        <v>167</v>
      </c>
    </row>
    <row r="45" spans="1:29" ht="18" customHeight="1" x14ac:dyDescent="0.25">
      <c r="A45" t="s">
        <v>284</v>
      </c>
      <c r="B45">
        <v>117</v>
      </c>
      <c r="C45" t="s">
        <v>388</v>
      </c>
      <c r="D45" t="s">
        <v>25</v>
      </c>
      <c r="E45" t="s">
        <v>154</v>
      </c>
      <c r="F45" s="5">
        <v>45846.710092592592</v>
      </c>
      <c r="G45">
        <v>312</v>
      </c>
      <c r="H45" s="5">
        <v>46188</v>
      </c>
      <c r="I45" t="s">
        <v>38</v>
      </c>
      <c r="J45" t="s">
        <v>183</v>
      </c>
      <c r="K45" t="s">
        <v>244</v>
      </c>
      <c r="L45" t="s">
        <v>245</v>
      </c>
      <c r="N45" t="s">
        <v>160</v>
      </c>
      <c r="O45" t="s">
        <v>26</v>
      </c>
      <c r="P45" t="s">
        <v>29</v>
      </c>
      <c r="R45" t="s">
        <v>118</v>
      </c>
      <c r="S45" t="s">
        <v>263</v>
      </c>
      <c r="T45" t="s">
        <v>246</v>
      </c>
      <c r="V45" t="s">
        <v>156</v>
      </c>
      <c r="W45" t="s">
        <v>320</v>
      </c>
      <c r="X45" t="s">
        <v>351</v>
      </c>
      <c r="Y45" t="s">
        <v>319</v>
      </c>
      <c r="Z45">
        <v>0</v>
      </c>
      <c r="AB45" t="s">
        <v>167</v>
      </c>
    </row>
    <row r="46" spans="1:29" ht="18" customHeight="1" x14ac:dyDescent="0.25">
      <c r="A46" t="s">
        <v>17</v>
      </c>
      <c r="B46">
        <v>116</v>
      </c>
      <c r="C46" t="s">
        <v>388</v>
      </c>
      <c r="D46" t="s">
        <v>15</v>
      </c>
      <c r="E46" t="s">
        <v>154</v>
      </c>
      <c r="F46" s="5">
        <v>45876.697060185186</v>
      </c>
      <c r="G46">
        <v>342</v>
      </c>
      <c r="H46" s="5">
        <v>46184</v>
      </c>
      <c r="I46" t="s">
        <v>56</v>
      </c>
      <c r="J46" t="s">
        <v>254</v>
      </c>
      <c r="K46" t="s">
        <v>247</v>
      </c>
      <c r="L46" t="s">
        <v>248</v>
      </c>
      <c r="M46" t="s">
        <v>35</v>
      </c>
      <c r="N46" t="s">
        <v>160</v>
      </c>
      <c r="O46" t="s">
        <v>16</v>
      </c>
      <c r="P46" t="s">
        <v>29</v>
      </c>
      <c r="R46" t="s">
        <v>117</v>
      </c>
      <c r="S46" t="s">
        <v>262</v>
      </c>
      <c r="T46" t="s">
        <v>36</v>
      </c>
      <c r="U46" t="s">
        <v>23</v>
      </c>
      <c r="V46" t="s">
        <v>156</v>
      </c>
      <c r="W46" t="s">
        <v>275</v>
      </c>
      <c r="X46" t="s">
        <v>299</v>
      </c>
      <c r="Y46" t="s">
        <v>319</v>
      </c>
      <c r="Z46">
        <v>0</v>
      </c>
      <c r="AB46" t="s">
        <v>167</v>
      </c>
      <c r="AC46" t="s">
        <v>255</v>
      </c>
    </row>
    <row r="47" spans="1:29" ht="18" customHeight="1" x14ac:dyDescent="0.25">
      <c r="A47" t="s">
        <v>17</v>
      </c>
      <c r="B47">
        <v>97</v>
      </c>
      <c r="C47" t="s">
        <v>388</v>
      </c>
      <c r="D47" t="s">
        <v>15</v>
      </c>
      <c r="E47" t="s">
        <v>154</v>
      </c>
      <c r="F47" s="5">
        <v>45716.765057870369</v>
      </c>
      <c r="G47">
        <v>472</v>
      </c>
      <c r="H47" s="5">
        <v>46184</v>
      </c>
      <c r="I47" t="s">
        <v>20</v>
      </c>
      <c r="J47" t="s">
        <v>261</v>
      </c>
      <c r="K47" t="s">
        <v>21</v>
      </c>
      <c r="L47" t="s">
        <v>249</v>
      </c>
      <c r="M47" t="s">
        <v>22</v>
      </c>
      <c r="N47" t="s">
        <v>160</v>
      </c>
      <c r="O47" t="s">
        <v>16</v>
      </c>
      <c r="P47" t="s">
        <v>18</v>
      </c>
      <c r="R47" t="s">
        <v>115</v>
      </c>
      <c r="S47" t="s">
        <v>262</v>
      </c>
      <c r="T47" t="s">
        <v>250</v>
      </c>
      <c r="U47" t="s">
        <v>23</v>
      </c>
      <c r="V47" t="s">
        <v>156</v>
      </c>
      <c r="W47" t="s">
        <v>276</v>
      </c>
      <c r="X47" t="s">
        <v>299</v>
      </c>
      <c r="Y47" t="s">
        <v>300</v>
      </c>
      <c r="Z47">
        <v>2</v>
      </c>
      <c r="AB47" t="s">
        <v>167</v>
      </c>
      <c r="AC47" t="s">
        <v>274</v>
      </c>
    </row>
  </sheetData>
  <phoneticPr fontId="20"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4716D-E107-41C9-8226-2F6C1BE3BFBC}">
  <sheetPr>
    <tabColor rgb="FF92D050"/>
    <pageSetUpPr fitToPage="1"/>
  </sheetPr>
  <dimension ref="B1:N78"/>
  <sheetViews>
    <sheetView tabSelected="1" topLeftCell="A2" zoomScale="80" zoomScaleNormal="80" workbookViewId="0">
      <selection activeCell="E65" sqref="E65"/>
    </sheetView>
  </sheetViews>
  <sheetFormatPr baseColWidth="10" defaultColWidth="20.28515625" defaultRowHeight="24.75" customHeight="1" x14ac:dyDescent="0.25"/>
  <cols>
    <col min="1" max="1" width="8.42578125" customWidth="1"/>
    <col min="2" max="2" width="23.85546875" customWidth="1"/>
    <col min="3" max="3" width="13.85546875" style="3" customWidth="1"/>
    <col min="4" max="4" width="20" style="38" bestFit="1" customWidth="1"/>
    <col min="5" max="5" width="31.85546875" style="3" customWidth="1"/>
    <col min="6" max="6" width="33.140625" style="32" customWidth="1"/>
    <col min="7" max="7" width="11.7109375" style="3" customWidth="1"/>
    <col min="8" max="8" width="34.5703125" style="102" bestFit="1" customWidth="1"/>
    <col min="9" max="9" width="32.85546875" bestFit="1" customWidth="1"/>
    <col min="10" max="10" width="39" style="4" customWidth="1"/>
    <col min="11" max="11" width="127.28515625" customWidth="1"/>
    <col min="12" max="12" width="37.7109375" hidden="1" customWidth="1"/>
    <col min="13" max="13" width="0" hidden="1" customWidth="1"/>
    <col min="14" max="14" width="37.7109375" hidden="1" customWidth="1"/>
  </cols>
  <sheetData>
    <row r="1" spans="2:12" ht="24.75" customHeight="1" x14ac:dyDescent="0.25">
      <c r="B1" s="1"/>
      <c r="C1" s="37"/>
    </row>
    <row r="2" spans="2:12" ht="68.25" customHeight="1" thickBot="1" x14ac:dyDescent="0.3">
      <c r="B2" s="143" t="s">
        <v>85</v>
      </c>
      <c r="C2" s="143"/>
      <c r="D2" s="143"/>
      <c r="E2" s="143"/>
      <c r="F2" s="143"/>
      <c r="G2" s="143"/>
      <c r="H2" s="143"/>
      <c r="I2" s="143"/>
      <c r="J2" s="143"/>
      <c r="K2" s="143"/>
    </row>
    <row r="3" spans="2:12" ht="24.75" customHeight="1" thickBot="1" x14ac:dyDescent="0.3">
      <c r="B3" s="144" t="s">
        <v>409</v>
      </c>
      <c r="C3" s="145"/>
      <c r="D3" s="145"/>
      <c r="E3" s="145"/>
      <c r="F3" s="145"/>
      <c r="G3" s="145"/>
      <c r="H3" s="145"/>
      <c r="I3" s="145"/>
      <c r="J3" s="145"/>
      <c r="K3" s="145"/>
    </row>
    <row r="4" spans="2:12" ht="24.75" customHeight="1" thickBot="1" x14ac:dyDescent="0.3">
      <c r="B4" s="146"/>
      <c r="C4" s="147"/>
      <c r="D4" s="147"/>
      <c r="E4" s="147"/>
      <c r="F4" s="147"/>
      <c r="G4" s="147"/>
      <c r="H4" s="147"/>
      <c r="I4" s="147"/>
      <c r="J4" s="147"/>
      <c r="K4" s="147"/>
    </row>
    <row r="5" spans="2:12" ht="24.75" customHeight="1" thickBot="1" x14ac:dyDescent="0.3">
      <c r="B5" s="136" t="s">
        <v>282</v>
      </c>
      <c r="C5" s="137"/>
      <c r="D5" s="137"/>
      <c r="E5" s="137"/>
      <c r="F5" s="137"/>
      <c r="G5" s="137"/>
      <c r="H5" s="137"/>
      <c r="I5" s="137"/>
      <c r="J5" s="137"/>
      <c r="K5" s="138"/>
    </row>
    <row r="6" spans="2:12" ht="24.75" customHeight="1" thickBot="1" x14ac:dyDescent="0.3">
      <c r="B6" s="148" t="s">
        <v>133</v>
      </c>
      <c r="C6" s="149"/>
      <c r="D6" s="150"/>
      <c r="E6" s="151" t="s">
        <v>86</v>
      </c>
      <c r="F6" s="152"/>
      <c r="G6" s="152"/>
      <c r="H6" s="152"/>
      <c r="I6" s="152"/>
      <c r="J6" s="152"/>
      <c r="K6" s="152"/>
    </row>
    <row r="7" spans="2:12" ht="24.75" customHeight="1" thickBot="1" x14ac:dyDescent="0.3">
      <c r="B7" s="153" t="s">
        <v>134</v>
      </c>
      <c r="C7" s="154"/>
      <c r="D7" s="155"/>
      <c r="E7" s="156" t="s">
        <v>87</v>
      </c>
      <c r="F7" s="157"/>
      <c r="G7" s="157"/>
      <c r="H7" s="157"/>
      <c r="I7" s="157"/>
      <c r="J7" s="157"/>
      <c r="K7" s="157"/>
    </row>
    <row r="8" spans="2:12" ht="24.75" customHeight="1" thickBot="1" x14ac:dyDescent="0.3">
      <c r="B8" s="158" t="s">
        <v>135</v>
      </c>
      <c r="C8" s="159"/>
      <c r="D8" s="160"/>
      <c r="E8" s="161" t="s">
        <v>88</v>
      </c>
      <c r="F8" s="162"/>
      <c r="G8" s="162"/>
      <c r="H8" s="162"/>
      <c r="I8" s="162"/>
      <c r="J8" s="162"/>
      <c r="K8" s="162"/>
    </row>
    <row r="9" spans="2:12" ht="24.75" customHeight="1" thickBot="1" x14ac:dyDescent="0.3">
      <c r="B9" s="146"/>
      <c r="C9" s="147"/>
      <c r="D9" s="147"/>
      <c r="E9" s="147"/>
      <c r="F9" s="147"/>
      <c r="G9" s="147"/>
      <c r="H9" s="147"/>
      <c r="I9" s="147"/>
      <c r="J9" s="147"/>
      <c r="K9" s="147"/>
    </row>
    <row r="10" spans="2:12" ht="24.75" customHeight="1" thickBot="1" x14ac:dyDescent="0.3">
      <c r="B10" s="139" t="s">
        <v>126</v>
      </c>
      <c r="C10" s="140"/>
      <c r="D10" s="140"/>
      <c r="E10" s="140"/>
      <c r="F10" s="140"/>
      <c r="G10" s="140"/>
      <c r="H10" s="141"/>
      <c r="I10" s="141"/>
      <c r="J10" s="141"/>
      <c r="K10" s="142"/>
    </row>
    <row r="11" spans="2:12" ht="35.25" customHeight="1" x14ac:dyDescent="0.25">
      <c r="B11" s="58" t="s">
        <v>89</v>
      </c>
      <c r="C11" s="12" t="s">
        <v>90</v>
      </c>
      <c r="D11" s="13" t="s">
        <v>91</v>
      </c>
      <c r="E11" s="18" t="s">
        <v>280</v>
      </c>
      <c r="F11" s="33" t="s">
        <v>278</v>
      </c>
    </row>
    <row r="12" spans="2:12" ht="24.75" customHeight="1" x14ac:dyDescent="0.25">
      <c r="B12" s="59" t="s">
        <v>27</v>
      </c>
      <c r="C12" s="9">
        <v>6</v>
      </c>
      <c r="D12" s="10">
        <v>17</v>
      </c>
      <c r="E12" s="11">
        <v>0</v>
      </c>
      <c r="F12" s="34">
        <v>23</v>
      </c>
    </row>
    <row r="13" spans="2:12" ht="24.75" customHeight="1" x14ac:dyDescent="0.25">
      <c r="B13" s="59" t="s">
        <v>17</v>
      </c>
      <c r="C13" s="9">
        <v>2</v>
      </c>
      <c r="D13" s="10">
        <v>10</v>
      </c>
      <c r="E13" s="11">
        <v>0</v>
      </c>
      <c r="F13" s="34">
        <v>12</v>
      </c>
    </row>
    <row r="14" spans="2:12" ht="24.75" customHeight="1" x14ac:dyDescent="0.25">
      <c r="B14" s="59" t="s">
        <v>33</v>
      </c>
      <c r="C14" s="9">
        <v>4</v>
      </c>
      <c r="D14" s="10">
        <v>3</v>
      </c>
      <c r="E14" s="11">
        <v>0</v>
      </c>
      <c r="F14" s="34">
        <v>7</v>
      </c>
      <c r="L14">
        <f>M12-L12</f>
        <v>0</v>
      </c>
    </row>
    <row r="15" spans="2:12" ht="24.75" customHeight="1" x14ac:dyDescent="0.25">
      <c r="B15" s="59" t="s">
        <v>67</v>
      </c>
      <c r="C15" s="9">
        <v>3</v>
      </c>
      <c r="D15" s="10">
        <v>0</v>
      </c>
      <c r="E15" s="11">
        <v>0</v>
      </c>
      <c r="F15" s="34">
        <v>3</v>
      </c>
    </row>
    <row r="16" spans="2:12" ht="24.75" customHeight="1" x14ac:dyDescent="0.25">
      <c r="B16" s="59" t="s">
        <v>49</v>
      </c>
      <c r="C16" s="9">
        <v>1</v>
      </c>
      <c r="D16" s="10">
        <v>0</v>
      </c>
      <c r="E16" s="11">
        <v>0</v>
      </c>
      <c r="F16" s="34">
        <v>1</v>
      </c>
    </row>
    <row r="17" spans="2:13" ht="24.75" customHeight="1" thickBot="1" x14ac:dyDescent="0.3">
      <c r="B17" s="16" t="s">
        <v>92</v>
      </c>
      <c r="C17" s="15">
        <v>16</v>
      </c>
      <c r="D17" s="15">
        <v>30</v>
      </c>
      <c r="E17" s="15">
        <v>0</v>
      </c>
      <c r="F17" s="35">
        <v>46</v>
      </c>
      <c r="L17" s="17">
        <v>46065.492569444446</v>
      </c>
    </row>
    <row r="18" spans="2:13" ht="24.75" customHeight="1" thickBot="1" x14ac:dyDescent="0.3">
      <c r="H18" s="103"/>
      <c r="I18" s="2"/>
      <c r="J18" s="8"/>
      <c r="K18" s="2"/>
    </row>
    <row r="19" spans="2:13" ht="24.75" customHeight="1" thickBot="1" x14ac:dyDescent="0.3">
      <c r="B19" s="136" t="s">
        <v>281</v>
      </c>
      <c r="C19" s="137"/>
      <c r="D19" s="137"/>
      <c r="E19" s="137"/>
      <c r="F19" s="137"/>
      <c r="G19" s="137"/>
      <c r="H19" s="137"/>
      <c r="I19" s="137"/>
      <c r="J19" s="137"/>
      <c r="K19" s="138"/>
    </row>
    <row r="20" spans="2:13" ht="24.75" customHeight="1" x14ac:dyDescent="0.25">
      <c r="B20" s="163" t="s">
        <v>27</v>
      </c>
      <c r="C20" s="164"/>
      <c r="D20" s="164"/>
      <c r="E20" s="164"/>
      <c r="F20" s="164"/>
      <c r="G20" s="164"/>
      <c r="H20" s="164"/>
      <c r="I20" s="164"/>
      <c r="J20" s="164"/>
      <c r="K20" s="165"/>
      <c r="L20" s="5">
        <v>46148</v>
      </c>
    </row>
    <row r="21" spans="2:13" s="4" customFormat="1" ht="24.75" customHeight="1" x14ac:dyDescent="0.25">
      <c r="B21" s="29" t="s">
        <v>120</v>
      </c>
      <c r="C21" s="29" t="s">
        <v>93</v>
      </c>
      <c r="D21" s="29" t="s">
        <v>2</v>
      </c>
      <c r="E21" s="29" t="s">
        <v>0</v>
      </c>
      <c r="F21" s="36" t="s">
        <v>1</v>
      </c>
      <c r="G21" s="29" t="s">
        <v>11</v>
      </c>
      <c r="H21" s="104" t="s">
        <v>112</v>
      </c>
      <c r="I21" s="29" t="s">
        <v>5</v>
      </c>
      <c r="J21" s="29" t="s">
        <v>9</v>
      </c>
      <c r="K21" s="29" t="s">
        <v>7</v>
      </c>
      <c r="M21" s="26">
        <f>M12-L17</f>
        <v>-46065.492569444446</v>
      </c>
    </row>
    <row r="22" spans="2:13" ht="30.6" customHeight="1" x14ac:dyDescent="0.25">
      <c r="B22" s="31">
        <v>141</v>
      </c>
      <c r="C22" s="30" t="s">
        <v>91</v>
      </c>
      <c r="D22" s="27" t="s">
        <v>212</v>
      </c>
      <c r="E22" s="27" t="s">
        <v>154</v>
      </c>
      <c r="F22" s="40">
        <v>46043</v>
      </c>
      <c r="G22" s="41">
        <v>145</v>
      </c>
      <c r="H22" s="105">
        <v>46230</v>
      </c>
      <c r="I22" s="42" t="s">
        <v>56</v>
      </c>
      <c r="J22" s="43" t="s">
        <v>171</v>
      </c>
      <c r="K22" s="39" t="s">
        <v>210</v>
      </c>
      <c r="L22" s="5">
        <v>46148</v>
      </c>
    </row>
    <row r="23" spans="2:13" ht="30.6" customHeight="1" x14ac:dyDescent="0.25">
      <c r="B23" s="31">
        <v>176</v>
      </c>
      <c r="C23" s="30" t="s">
        <v>91</v>
      </c>
      <c r="D23" s="27" t="s">
        <v>25</v>
      </c>
      <c r="E23" s="27" t="s">
        <v>154</v>
      </c>
      <c r="F23" s="40">
        <v>46156</v>
      </c>
      <c r="G23" s="41">
        <v>32</v>
      </c>
      <c r="H23" s="105">
        <v>46176</v>
      </c>
      <c r="I23" s="42" t="s">
        <v>56</v>
      </c>
      <c r="J23" s="43" t="s">
        <v>171</v>
      </c>
      <c r="K23" s="39" t="s">
        <v>128</v>
      </c>
      <c r="L23" s="5"/>
    </row>
    <row r="24" spans="2:13" ht="30.6" customHeight="1" x14ac:dyDescent="0.25">
      <c r="B24" s="31">
        <v>169</v>
      </c>
      <c r="C24" s="30" t="s">
        <v>91</v>
      </c>
      <c r="D24" s="27" t="s">
        <v>25</v>
      </c>
      <c r="E24" s="27" t="s">
        <v>154</v>
      </c>
      <c r="F24" s="40">
        <v>46126</v>
      </c>
      <c r="G24" s="41">
        <v>63</v>
      </c>
      <c r="H24" s="105">
        <v>46245</v>
      </c>
      <c r="I24" s="42" t="s">
        <v>83</v>
      </c>
      <c r="J24" s="43" t="s">
        <v>183</v>
      </c>
      <c r="K24" s="39" t="s">
        <v>84</v>
      </c>
      <c r="L24" s="5">
        <v>46148</v>
      </c>
    </row>
    <row r="25" spans="2:13" ht="30.6" customHeight="1" x14ac:dyDescent="0.25">
      <c r="B25" s="31">
        <v>168</v>
      </c>
      <c r="C25" s="30" t="s">
        <v>91</v>
      </c>
      <c r="D25" s="27" t="s">
        <v>25</v>
      </c>
      <c r="E25" s="27" t="s">
        <v>154</v>
      </c>
      <c r="F25" s="40">
        <v>46122</v>
      </c>
      <c r="G25" s="41">
        <v>67</v>
      </c>
      <c r="H25" s="105">
        <v>46239</v>
      </c>
      <c r="I25" s="42" t="s">
        <v>52</v>
      </c>
      <c r="J25" s="43" t="s">
        <v>161</v>
      </c>
      <c r="K25" s="39" t="s">
        <v>184</v>
      </c>
      <c r="L25" s="5">
        <v>46148</v>
      </c>
    </row>
    <row r="26" spans="2:13" ht="30.6" customHeight="1" x14ac:dyDescent="0.25">
      <c r="B26" s="31">
        <v>145</v>
      </c>
      <c r="C26" s="30" t="s">
        <v>91</v>
      </c>
      <c r="D26" s="27" t="s">
        <v>25</v>
      </c>
      <c r="E26" s="27" t="s">
        <v>154</v>
      </c>
      <c r="F26" s="40">
        <v>46063</v>
      </c>
      <c r="G26" s="41">
        <v>126</v>
      </c>
      <c r="H26" s="105">
        <v>46238</v>
      </c>
      <c r="I26" s="42" t="s">
        <v>45</v>
      </c>
      <c r="J26" s="43" t="s">
        <v>161</v>
      </c>
      <c r="K26" s="39" t="s">
        <v>68</v>
      </c>
      <c r="L26" s="5">
        <v>46148</v>
      </c>
    </row>
    <row r="27" spans="2:13" ht="30.6" customHeight="1" x14ac:dyDescent="0.25">
      <c r="B27" s="31">
        <v>117</v>
      </c>
      <c r="C27" s="30" t="s">
        <v>91</v>
      </c>
      <c r="D27" s="27" t="s">
        <v>25</v>
      </c>
      <c r="E27" s="27" t="s">
        <v>154</v>
      </c>
      <c r="F27" s="40">
        <v>45876</v>
      </c>
      <c r="G27" s="41">
        <v>312</v>
      </c>
      <c r="H27" s="105">
        <v>46188</v>
      </c>
      <c r="I27" s="42" t="s">
        <v>38</v>
      </c>
      <c r="J27" s="43" t="s">
        <v>183</v>
      </c>
      <c r="K27" s="39" t="s">
        <v>244</v>
      </c>
      <c r="L27" s="5">
        <v>46148</v>
      </c>
    </row>
    <row r="28" spans="2:13" ht="87" customHeight="1" x14ac:dyDescent="0.25">
      <c r="B28" s="31">
        <v>180</v>
      </c>
      <c r="C28" s="30" t="s">
        <v>91</v>
      </c>
      <c r="D28" s="27" t="s">
        <v>15</v>
      </c>
      <c r="E28" s="27" t="s">
        <v>154</v>
      </c>
      <c r="F28" s="40">
        <v>46169</v>
      </c>
      <c r="G28" s="41">
        <v>20</v>
      </c>
      <c r="H28" s="105">
        <v>46265</v>
      </c>
      <c r="I28" s="42" t="s">
        <v>63</v>
      </c>
      <c r="J28" s="43" t="s">
        <v>161</v>
      </c>
      <c r="K28" s="39" t="s">
        <v>378</v>
      </c>
      <c r="L28" s="5">
        <v>46148</v>
      </c>
    </row>
    <row r="29" spans="2:13" ht="83.25" customHeight="1" x14ac:dyDescent="0.25">
      <c r="B29" s="31">
        <v>179</v>
      </c>
      <c r="C29" s="30" t="s">
        <v>91</v>
      </c>
      <c r="D29" s="27" t="s">
        <v>15</v>
      </c>
      <c r="E29" s="27" t="s">
        <v>154</v>
      </c>
      <c r="F29" s="40">
        <v>46169</v>
      </c>
      <c r="G29" s="41">
        <v>19</v>
      </c>
      <c r="H29" s="105">
        <v>46300</v>
      </c>
      <c r="I29" s="42" t="s">
        <v>63</v>
      </c>
      <c r="J29" s="43" t="s">
        <v>161</v>
      </c>
      <c r="K29" s="39" t="s">
        <v>379</v>
      </c>
      <c r="L29" s="5">
        <v>46148</v>
      </c>
    </row>
    <row r="30" spans="2:13" ht="56.25" customHeight="1" x14ac:dyDescent="0.25">
      <c r="B30" s="31">
        <v>177</v>
      </c>
      <c r="C30" s="30" t="s">
        <v>91</v>
      </c>
      <c r="D30" s="27" t="s">
        <v>15</v>
      </c>
      <c r="E30" s="27" t="s">
        <v>154</v>
      </c>
      <c r="F30" s="40">
        <v>46161</v>
      </c>
      <c r="G30" s="41">
        <v>28</v>
      </c>
      <c r="H30" s="105">
        <v>46295</v>
      </c>
      <c r="I30" s="42" t="s">
        <v>52</v>
      </c>
      <c r="J30" s="43" t="s">
        <v>161</v>
      </c>
      <c r="K30" s="39" t="s">
        <v>168</v>
      </c>
      <c r="L30" s="5">
        <v>46148</v>
      </c>
    </row>
    <row r="31" spans="2:13" ht="30.6" customHeight="1" x14ac:dyDescent="0.25">
      <c r="B31" s="31">
        <v>167</v>
      </c>
      <c r="C31" s="30" t="s">
        <v>91</v>
      </c>
      <c r="D31" s="27" t="s">
        <v>15</v>
      </c>
      <c r="E31" s="27" t="s">
        <v>154</v>
      </c>
      <c r="F31" s="40">
        <v>46119</v>
      </c>
      <c r="G31" s="41">
        <v>70</v>
      </c>
      <c r="H31" s="105">
        <v>46356</v>
      </c>
      <c r="I31" s="42" t="s">
        <v>81</v>
      </c>
      <c r="J31" s="43" t="s">
        <v>171</v>
      </c>
      <c r="K31" s="39" t="s">
        <v>82</v>
      </c>
      <c r="L31" s="5">
        <v>46148</v>
      </c>
    </row>
    <row r="32" spans="2:13" ht="30.6" customHeight="1" x14ac:dyDescent="0.25">
      <c r="B32" s="31">
        <v>164</v>
      </c>
      <c r="C32" s="30" t="s">
        <v>91</v>
      </c>
      <c r="D32" s="27" t="s">
        <v>15</v>
      </c>
      <c r="E32" s="27" t="s">
        <v>154</v>
      </c>
      <c r="F32" s="40">
        <v>46106</v>
      </c>
      <c r="G32" s="41">
        <v>83</v>
      </c>
      <c r="H32" s="105">
        <v>46259</v>
      </c>
      <c r="I32" s="42" t="s">
        <v>28</v>
      </c>
      <c r="J32" s="43" t="s">
        <v>30</v>
      </c>
      <c r="K32" s="39" t="s">
        <v>94</v>
      </c>
      <c r="L32" s="5">
        <v>46148</v>
      </c>
    </row>
    <row r="33" spans="2:13" ht="64.5" customHeight="1" x14ac:dyDescent="0.25">
      <c r="B33" s="31">
        <v>135</v>
      </c>
      <c r="C33" s="30" t="s">
        <v>91</v>
      </c>
      <c r="D33" s="27" t="s">
        <v>15</v>
      </c>
      <c r="E33" s="27" t="s">
        <v>154</v>
      </c>
      <c r="F33" s="40">
        <v>46036</v>
      </c>
      <c r="G33" s="41">
        <v>153</v>
      </c>
      <c r="H33" s="105">
        <v>46295</v>
      </c>
      <c r="I33" s="42" t="s">
        <v>46</v>
      </c>
      <c r="J33" s="43" t="s">
        <v>171</v>
      </c>
      <c r="K33" s="39" t="s">
        <v>380</v>
      </c>
      <c r="L33" s="5">
        <v>46148</v>
      </c>
    </row>
    <row r="34" spans="2:13" ht="30.6" customHeight="1" x14ac:dyDescent="0.25">
      <c r="B34" s="31">
        <v>134</v>
      </c>
      <c r="C34" s="30" t="s">
        <v>91</v>
      </c>
      <c r="D34" s="27" t="s">
        <v>15</v>
      </c>
      <c r="E34" s="27" t="s">
        <v>154</v>
      </c>
      <c r="F34" s="40">
        <v>46036</v>
      </c>
      <c r="G34" s="41">
        <v>153</v>
      </c>
      <c r="H34" s="105">
        <v>46203</v>
      </c>
      <c r="I34" s="42" t="s">
        <v>52</v>
      </c>
      <c r="J34" s="43" t="s">
        <v>161</v>
      </c>
      <c r="K34" s="39" t="s">
        <v>53</v>
      </c>
      <c r="L34" s="5">
        <v>46148</v>
      </c>
    </row>
    <row r="35" spans="2:13" ht="30.6" customHeight="1" x14ac:dyDescent="0.25">
      <c r="B35" s="31">
        <v>130</v>
      </c>
      <c r="C35" s="30" t="s">
        <v>91</v>
      </c>
      <c r="D35" s="27" t="s">
        <v>39</v>
      </c>
      <c r="E35" s="27" t="s">
        <v>154</v>
      </c>
      <c r="F35" s="40">
        <v>46024</v>
      </c>
      <c r="G35" s="41">
        <v>165</v>
      </c>
      <c r="H35" s="105">
        <v>46355</v>
      </c>
      <c r="I35" s="42" t="s">
        <v>46</v>
      </c>
      <c r="J35" s="43" t="s">
        <v>231</v>
      </c>
      <c r="K35" s="39" t="s">
        <v>228</v>
      </c>
      <c r="L35" s="5">
        <v>46148</v>
      </c>
    </row>
    <row r="36" spans="2:13" ht="39.75" customHeight="1" x14ac:dyDescent="0.25">
      <c r="B36" s="31">
        <v>129</v>
      </c>
      <c r="C36" s="30" t="s">
        <v>91</v>
      </c>
      <c r="D36" s="27" t="s">
        <v>15</v>
      </c>
      <c r="E36" s="27" t="s">
        <v>154</v>
      </c>
      <c r="F36" s="40">
        <v>46002</v>
      </c>
      <c r="G36" s="41">
        <v>187</v>
      </c>
      <c r="H36" s="105">
        <v>46280</v>
      </c>
      <c r="I36" s="42" t="s">
        <v>46</v>
      </c>
      <c r="J36" s="43" t="s">
        <v>161</v>
      </c>
      <c r="K36" s="39" t="s">
        <v>233</v>
      </c>
      <c r="L36" s="5">
        <v>46148</v>
      </c>
    </row>
    <row r="37" spans="2:13" ht="42.75" customHeight="1" x14ac:dyDescent="0.25">
      <c r="B37" s="31">
        <v>138</v>
      </c>
      <c r="C37" s="30" t="s">
        <v>91</v>
      </c>
      <c r="D37" s="27" t="s">
        <v>39</v>
      </c>
      <c r="E37" s="27" t="s">
        <v>154</v>
      </c>
      <c r="F37" s="40">
        <v>46036</v>
      </c>
      <c r="G37" s="41">
        <v>153</v>
      </c>
      <c r="H37" s="105">
        <v>46356</v>
      </c>
      <c r="I37" s="42" t="s">
        <v>61</v>
      </c>
      <c r="J37" s="43" t="s">
        <v>205</v>
      </c>
      <c r="K37" s="39" t="s">
        <v>217</v>
      </c>
      <c r="L37" s="5">
        <v>46148</v>
      </c>
    </row>
    <row r="38" spans="2:13" ht="30.6" customHeight="1" x14ac:dyDescent="0.25">
      <c r="B38" s="31">
        <v>136</v>
      </c>
      <c r="C38" s="30" t="s">
        <v>91</v>
      </c>
      <c r="D38" s="27" t="s">
        <v>39</v>
      </c>
      <c r="E38" s="27" t="s">
        <v>154</v>
      </c>
      <c r="F38" s="40">
        <v>46036</v>
      </c>
      <c r="G38" s="41">
        <v>153</v>
      </c>
      <c r="H38" s="105">
        <v>46324</v>
      </c>
      <c r="I38" s="42" t="s">
        <v>56</v>
      </c>
      <c r="J38" s="43" t="s">
        <v>171</v>
      </c>
      <c r="K38" s="39" t="s">
        <v>221</v>
      </c>
      <c r="L38" s="5">
        <v>46148</v>
      </c>
    </row>
    <row r="39" spans="2:13" ht="30.6" customHeight="1" x14ac:dyDescent="0.25">
      <c r="B39" s="31">
        <v>120</v>
      </c>
      <c r="C39" s="23" t="s">
        <v>90</v>
      </c>
      <c r="D39" s="27" t="s">
        <v>39</v>
      </c>
      <c r="E39" s="27" t="s">
        <v>154</v>
      </c>
      <c r="F39" s="40">
        <v>45904</v>
      </c>
      <c r="G39" s="41">
        <v>285</v>
      </c>
      <c r="H39" s="105" t="s">
        <v>410</v>
      </c>
      <c r="I39" s="42" t="s">
        <v>28</v>
      </c>
      <c r="J39" s="43" t="s">
        <v>30</v>
      </c>
      <c r="K39" s="39" t="s">
        <v>40</v>
      </c>
      <c r="L39" s="5">
        <v>46148</v>
      </c>
    </row>
    <row r="40" spans="2:13" ht="30.6" customHeight="1" x14ac:dyDescent="0.25">
      <c r="B40" s="31">
        <v>122</v>
      </c>
      <c r="C40" s="23" t="s">
        <v>90</v>
      </c>
      <c r="D40" s="27" t="s">
        <v>15</v>
      </c>
      <c r="E40" s="27" t="s">
        <v>154</v>
      </c>
      <c r="F40" s="40">
        <v>45905</v>
      </c>
      <c r="G40" s="41">
        <v>284</v>
      </c>
      <c r="H40" s="105" t="s">
        <v>410</v>
      </c>
      <c r="I40" s="42" t="s">
        <v>43</v>
      </c>
      <c r="J40" s="43" t="s">
        <v>44</v>
      </c>
      <c r="K40" s="39" t="s">
        <v>240</v>
      </c>
      <c r="L40" s="5">
        <v>46148</v>
      </c>
    </row>
    <row r="41" spans="2:13" ht="45" customHeight="1" x14ac:dyDescent="0.25">
      <c r="B41" s="31">
        <v>154</v>
      </c>
      <c r="C41" s="23" t="s">
        <v>90</v>
      </c>
      <c r="D41" s="27" t="s">
        <v>15</v>
      </c>
      <c r="E41" s="27" t="s">
        <v>154</v>
      </c>
      <c r="F41" s="40">
        <v>46087</v>
      </c>
      <c r="G41" s="41">
        <v>102</v>
      </c>
      <c r="H41" s="105" t="s">
        <v>410</v>
      </c>
      <c r="I41" s="42" t="s">
        <v>28</v>
      </c>
      <c r="J41" s="43" t="s">
        <v>30</v>
      </c>
      <c r="K41" s="39" t="s">
        <v>191</v>
      </c>
      <c r="L41" s="5">
        <v>46148</v>
      </c>
    </row>
    <row r="42" spans="2:13" ht="60" x14ac:dyDescent="0.25">
      <c r="B42" s="31">
        <v>190</v>
      </c>
      <c r="C42" s="23" t="s">
        <v>90</v>
      </c>
      <c r="D42" s="27" t="s">
        <v>15</v>
      </c>
      <c r="E42" s="27" t="s">
        <v>154</v>
      </c>
      <c r="F42" s="40">
        <v>46189</v>
      </c>
      <c r="G42" s="41">
        <v>7</v>
      </c>
      <c r="H42" s="105" t="s">
        <v>410</v>
      </c>
      <c r="I42" s="42" t="s">
        <v>56</v>
      </c>
      <c r="J42" s="43" t="s">
        <v>171</v>
      </c>
      <c r="K42" s="39" t="s">
        <v>381</v>
      </c>
      <c r="L42" s="5"/>
    </row>
    <row r="43" spans="2:13" ht="67.5" customHeight="1" x14ac:dyDescent="0.25">
      <c r="B43" s="31">
        <v>189</v>
      </c>
      <c r="C43" s="23" t="s">
        <v>90</v>
      </c>
      <c r="D43" s="27" t="s">
        <v>15</v>
      </c>
      <c r="E43" s="27" t="s">
        <v>154</v>
      </c>
      <c r="F43" s="40">
        <v>46188</v>
      </c>
      <c r="G43" s="41">
        <v>7</v>
      </c>
      <c r="H43" s="105" t="s">
        <v>410</v>
      </c>
      <c r="I43" s="42" t="s">
        <v>45</v>
      </c>
      <c r="J43" s="43" t="s">
        <v>161</v>
      </c>
      <c r="K43" s="39" t="s">
        <v>382</v>
      </c>
      <c r="L43" s="5">
        <v>46148</v>
      </c>
    </row>
    <row r="44" spans="2:13" ht="30.6" customHeight="1" x14ac:dyDescent="0.25">
      <c r="B44" s="31">
        <v>187</v>
      </c>
      <c r="C44" s="23" t="s">
        <v>90</v>
      </c>
      <c r="D44" s="27" t="s">
        <v>15</v>
      </c>
      <c r="E44" s="27" t="s">
        <v>154</v>
      </c>
      <c r="F44" s="40">
        <v>46188</v>
      </c>
      <c r="G44" s="41">
        <v>7</v>
      </c>
      <c r="H44" s="105" t="s">
        <v>410</v>
      </c>
      <c r="I44" s="42" t="s">
        <v>61</v>
      </c>
      <c r="J44" s="43" t="s">
        <v>205</v>
      </c>
      <c r="K44" s="39" t="s">
        <v>295</v>
      </c>
      <c r="L44" s="5">
        <v>46148</v>
      </c>
    </row>
    <row r="45" spans="2:13" ht="30.75" customHeight="1" x14ac:dyDescent="0.25">
      <c r="B45" s="166" t="s">
        <v>17</v>
      </c>
      <c r="C45" s="167"/>
      <c r="D45" s="167"/>
      <c r="E45" s="167"/>
      <c r="F45" s="167"/>
      <c r="G45" s="167"/>
      <c r="H45" s="167"/>
      <c r="I45" s="167"/>
      <c r="J45" s="167"/>
      <c r="K45" s="168"/>
      <c r="L45" s="5">
        <v>46148</v>
      </c>
    </row>
    <row r="46" spans="2:13" s="4" customFormat="1" ht="24.75" customHeight="1" x14ac:dyDescent="0.25">
      <c r="B46" s="29" t="s">
        <v>120</v>
      </c>
      <c r="C46" s="29" t="s">
        <v>93</v>
      </c>
      <c r="D46" s="29" t="s">
        <v>2</v>
      </c>
      <c r="E46" s="29" t="s">
        <v>0</v>
      </c>
      <c r="F46" s="36" t="s">
        <v>1</v>
      </c>
      <c r="G46" s="29" t="s">
        <v>11</v>
      </c>
      <c r="H46" s="104" t="s">
        <v>112</v>
      </c>
      <c r="I46" s="29" t="s">
        <v>5</v>
      </c>
      <c r="J46" s="29" t="s">
        <v>9</v>
      </c>
      <c r="K46" s="29" t="s">
        <v>7</v>
      </c>
      <c r="M46" s="26">
        <f>M29-L32</f>
        <v>-46148</v>
      </c>
    </row>
    <row r="47" spans="2:13" ht="46.5" customHeight="1" x14ac:dyDescent="0.25">
      <c r="B47" s="31">
        <v>182</v>
      </c>
      <c r="C47" s="30" t="s">
        <v>91</v>
      </c>
      <c r="D47" s="27" t="s">
        <v>15</v>
      </c>
      <c r="E47" s="27" t="s">
        <v>154</v>
      </c>
      <c r="F47" s="40">
        <v>46169</v>
      </c>
      <c r="G47" s="41">
        <v>19</v>
      </c>
      <c r="H47" s="105">
        <v>46182</v>
      </c>
      <c r="I47" s="42" t="s">
        <v>20</v>
      </c>
      <c r="J47" s="43" t="s">
        <v>261</v>
      </c>
      <c r="K47" s="39" t="s">
        <v>371</v>
      </c>
      <c r="L47" s="5">
        <v>46148</v>
      </c>
    </row>
    <row r="48" spans="2:13" ht="78.95" customHeight="1" x14ac:dyDescent="0.25">
      <c r="B48" s="31">
        <v>150</v>
      </c>
      <c r="C48" s="30" t="s">
        <v>91</v>
      </c>
      <c r="D48" s="27" t="s">
        <v>15</v>
      </c>
      <c r="E48" s="27" t="s">
        <v>154</v>
      </c>
      <c r="F48" s="40">
        <v>46069</v>
      </c>
      <c r="G48" s="41">
        <v>119</v>
      </c>
      <c r="H48" s="105">
        <v>46192</v>
      </c>
      <c r="I48" s="42" t="s">
        <v>43</v>
      </c>
      <c r="J48" s="43" t="s">
        <v>261</v>
      </c>
      <c r="K48" s="39" t="s">
        <v>131</v>
      </c>
      <c r="L48" s="5">
        <v>46148</v>
      </c>
    </row>
    <row r="49" spans="2:13" ht="54.95" customHeight="1" x14ac:dyDescent="0.25">
      <c r="B49" s="31">
        <v>148</v>
      </c>
      <c r="C49" s="30" t="s">
        <v>91</v>
      </c>
      <c r="D49" s="27" t="s">
        <v>15</v>
      </c>
      <c r="E49" s="27" t="s">
        <v>154</v>
      </c>
      <c r="F49" s="40">
        <v>46065</v>
      </c>
      <c r="G49" s="41">
        <v>123</v>
      </c>
      <c r="H49" s="105">
        <v>46184</v>
      </c>
      <c r="I49" s="42" t="s">
        <v>20</v>
      </c>
      <c r="J49" s="43" t="s">
        <v>239</v>
      </c>
      <c r="K49" s="39" t="s">
        <v>196</v>
      </c>
      <c r="L49" s="5"/>
    </row>
    <row r="50" spans="2:13" ht="15" x14ac:dyDescent="0.25">
      <c r="B50" s="31">
        <v>139</v>
      </c>
      <c r="C50" s="30" t="s">
        <v>91</v>
      </c>
      <c r="D50" s="27" t="s">
        <v>15</v>
      </c>
      <c r="E50" s="27" t="s">
        <v>154</v>
      </c>
      <c r="F50" s="40">
        <v>46037</v>
      </c>
      <c r="G50" s="41">
        <v>151</v>
      </c>
      <c r="H50" s="105">
        <v>46184</v>
      </c>
      <c r="I50" s="42" t="s">
        <v>62</v>
      </c>
      <c r="J50" s="43" t="s">
        <v>216</v>
      </c>
      <c r="K50" s="39" t="s">
        <v>214</v>
      </c>
      <c r="L50" s="5">
        <v>46148</v>
      </c>
    </row>
    <row r="51" spans="2:13" ht="39" customHeight="1" x14ac:dyDescent="0.25">
      <c r="B51" s="31">
        <v>137</v>
      </c>
      <c r="C51" s="30" t="s">
        <v>91</v>
      </c>
      <c r="D51" s="27" t="s">
        <v>15</v>
      </c>
      <c r="E51" s="27" t="s">
        <v>154</v>
      </c>
      <c r="F51" s="40">
        <v>46036</v>
      </c>
      <c r="G51" s="41">
        <v>152</v>
      </c>
      <c r="H51" s="105">
        <v>46182</v>
      </c>
      <c r="I51" s="42" t="s">
        <v>56</v>
      </c>
      <c r="J51" s="43" t="s">
        <v>17</v>
      </c>
      <c r="K51" s="39" t="s">
        <v>58</v>
      </c>
      <c r="L51" s="5">
        <v>46148</v>
      </c>
    </row>
    <row r="52" spans="2:13" ht="39" customHeight="1" x14ac:dyDescent="0.25">
      <c r="B52" s="31">
        <v>132</v>
      </c>
      <c r="C52" s="30" t="s">
        <v>91</v>
      </c>
      <c r="D52" s="27" t="s">
        <v>15</v>
      </c>
      <c r="E52" s="27" t="s">
        <v>154</v>
      </c>
      <c r="F52" s="40">
        <v>46029</v>
      </c>
      <c r="G52" s="41">
        <v>159</v>
      </c>
      <c r="H52" s="105">
        <v>46182</v>
      </c>
      <c r="I52" s="42" t="s">
        <v>20</v>
      </c>
      <c r="J52" s="43" t="s">
        <v>17</v>
      </c>
      <c r="K52" s="39" t="s">
        <v>225</v>
      </c>
      <c r="L52" s="5">
        <v>46148</v>
      </c>
    </row>
    <row r="53" spans="2:13" ht="39" customHeight="1" x14ac:dyDescent="0.25">
      <c r="B53" s="31">
        <v>127</v>
      </c>
      <c r="C53" s="30" t="s">
        <v>91</v>
      </c>
      <c r="D53" s="27" t="s">
        <v>25</v>
      </c>
      <c r="E53" s="27" t="s">
        <v>154</v>
      </c>
      <c r="F53" s="40">
        <v>45975</v>
      </c>
      <c r="G53" s="41">
        <v>213</v>
      </c>
      <c r="H53" s="105">
        <v>46184</v>
      </c>
      <c r="I53" s="42" t="s">
        <v>45</v>
      </c>
      <c r="J53" s="43" t="s">
        <v>239</v>
      </c>
      <c r="K53" s="39" t="s">
        <v>236</v>
      </c>
      <c r="L53" s="5">
        <v>46148</v>
      </c>
    </row>
    <row r="54" spans="2:13" ht="50.25" customHeight="1" x14ac:dyDescent="0.25">
      <c r="B54" s="31">
        <v>116</v>
      </c>
      <c r="C54" s="30" t="s">
        <v>91</v>
      </c>
      <c r="D54" s="27" t="s">
        <v>15</v>
      </c>
      <c r="E54" s="27" t="s">
        <v>154</v>
      </c>
      <c r="F54" s="40">
        <v>45846</v>
      </c>
      <c r="G54" s="41">
        <v>342</v>
      </c>
      <c r="H54" s="105">
        <v>46184</v>
      </c>
      <c r="I54" s="42" t="s">
        <v>56</v>
      </c>
      <c r="J54" s="43" t="s">
        <v>254</v>
      </c>
      <c r="K54" s="39" t="s">
        <v>247</v>
      </c>
      <c r="L54" s="5">
        <v>46148</v>
      </c>
    </row>
    <row r="55" spans="2:13" ht="39" customHeight="1" x14ac:dyDescent="0.25">
      <c r="B55" s="31">
        <v>97</v>
      </c>
      <c r="C55" s="30" t="s">
        <v>91</v>
      </c>
      <c r="D55" s="27" t="s">
        <v>15</v>
      </c>
      <c r="E55" s="27" t="s">
        <v>154</v>
      </c>
      <c r="F55" s="40">
        <v>45716</v>
      </c>
      <c r="G55" s="41">
        <v>472</v>
      </c>
      <c r="H55" s="105">
        <v>46184</v>
      </c>
      <c r="I55" s="42" t="s">
        <v>20</v>
      </c>
      <c r="J55" s="43" t="s">
        <v>261</v>
      </c>
      <c r="K55" s="39" t="s">
        <v>21</v>
      </c>
      <c r="L55" s="5"/>
    </row>
    <row r="56" spans="2:13" ht="39" customHeight="1" x14ac:dyDescent="0.25">
      <c r="B56" s="31">
        <v>188</v>
      </c>
      <c r="C56" s="23" t="s">
        <v>91</v>
      </c>
      <c r="D56" s="27" t="s">
        <v>15</v>
      </c>
      <c r="E56" s="27" t="s">
        <v>154</v>
      </c>
      <c r="F56" s="40">
        <v>46188</v>
      </c>
      <c r="G56" s="41">
        <v>7</v>
      </c>
      <c r="H56" s="105">
        <v>46211</v>
      </c>
      <c r="I56" s="42" t="s">
        <v>56</v>
      </c>
      <c r="J56" s="43" t="s">
        <v>254</v>
      </c>
      <c r="K56" s="39" t="s">
        <v>372</v>
      </c>
      <c r="L56" s="5">
        <v>46148</v>
      </c>
    </row>
    <row r="57" spans="2:13" ht="39" customHeight="1" x14ac:dyDescent="0.25">
      <c r="B57" s="31">
        <v>185</v>
      </c>
      <c r="C57" s="23" t="s">
        <v>90</v>
      </c>
      <c r="D57" s="27" t="s">
        <v>25</v>
      </c>
      <c r="E57" s="27" t="s">
        <v>154</v>
      </c>
      <c r="F57" s="40">
        <v>46183</v>
      </c>
      <c r="G57" s="41">
        <v>7</v>
      </c>
      <c r="H57" s="105" t="s">
        <v>410</v>
      </c>
      <c r="I57" s="42" t="s">
        <v>20</v>
      </c>
      <c r="J57" s="43" t="s">
        <v>261</v>
      </c>
      <c r="K57" s="39" t="s">
        <v>301</v>
      </c>
      <c r="L57" s="5">
        <v>46148</v>
      </c>
    </row>
    <row r="58" spans="2:13" ht="80.45" customHeight="1" thickBot="1" x14ac:dyDescent="0.3">
      <c r="B58" s="31">
        <v>178</v>
      </c>
      <c r="C58" s="23" t="s">
        <v>90</v>
      </c>
      <c r="D58" s="27" t="s">
        <v>25</v>
      </c>
      <c r="E58" s="27" t="s">
        <v>154</v>
      </c>
      <c r="F58" s="40">
        <v>46162</v>
      </c>
      <c r="G58" s="41">
        <v>26</v>
      </c>
      <c r="H58" s="105" t="s">
        <v>410</v>
      </c>
      <c r="I58" s="42" t="s">
        <v>137</v>
      </c>
      <c r="J58" s="43" t="s">
        <v>138</v>
      </c>
      <c r="K58" s="39" t="s">
        <v>136</v>
      </c>
      <c r="L58" s="5">
        <v>46148</v>
      </c>
    </row>
    <row r="59" spans="2:13" ht="29.25" customHeight="1" x14ac:dyDescent="0.25">
      <c r="B59" s="163" t="s">
        <v>33</v>
      </c>
      <c r="C59" s="164"/>
      <c r="D59" s="164"/>
      <c r="E59" s="164"/>
      <c r="F59" s="164"/>
      <c r="G59" s="164"/>
      <c r="H59" s="164"/>
      <c r="I59" s="164"/>
      <c r="J59" s="164"/>
      <c r="K59" s="165"/>
      <c r="L59" s="5">
        <v>46148</v>
      </c>
    </row>
    <row r="60" spans="2:13" ht="50.25" customHeight="1" x14ac:dyDescent="0.25">
      <c r="B60" s="29" t="s">
        <v>120</v>
      </c>
      <c r="C60" s="29" t="s">
        <v>93</v>
      </c>
      <c r="D60" s="29" t="s">
        <v>2</v>
      </c>
      <c r="E60" s="29" t="s">
        <v>0</v>
      </c>
      <c r="F60" s="36" t="s">
        <v>1</v>
      </c>
      <c r="G60" s="29" t="s">
        <v>11</v>
      </c>
      <c r="H60" s="104" t="s">
        <v>112</v>
      </c>
      <c r="I60" s="29" t="s">
        <v>5</v>
      </c>
      <c r="J60" s="29" t="s">
        <v>9</v>
      </c>
      <c r="K60" s="29" t="s">
        <v>7</v>
      </c>
      <c r="L60" s="4"/>
      <c r="M60" s="26">
        <f>M57-L53</f>
        <v>-46148</v>
      </c>
    </row>
    <row r="61" spans="2:13" ht="24.75" customHeight="1" x14ac:dyDescent="0.25">
      <c r="B61" s="31">
        <v>183</v>
      </c>
      <c r="C61" s="30" t="s">
        <v>91</v>
      </c>
      <c r="D61" s="27" t="s">
        <v>25</v>
      </c>
      <c r="E61" s="27" t="s">
        <v>154</v>
      </c>
      <c r="F61" s="40">
        <v>46174</v>
      </c>
      <c r="G61" s="41">
        <v>15</v>
      </c>
      <c r="H61" s="105">
        <v>46234</v>
      </c>
      <c r="I61" s="49" t="s">
        <v>398</v>
      </c>
      <c r="J61" s="43" t="s">
        <v>258</v>
      </c>
      <c r="K61" s="39" t="s">
        <v>256</v>
      </c>
      <c r="L61" s="5"/>
    </row>
    <row r="62" spans="2:13" s="4" customFormat="1" ht="24.75" customHeight="1" x14ac:dyDescent="0.25">
      <c r="B62" s="31">
        <v>142</v>
      </c>
      <c r="C62" s="30" t="s">
        <v>91</v>
      </c>
      <c r="D62" s="27" t="s">
        <v>15</v>
      </c>
      <c r="E62" s="27" t="s">
        <v>154</v>
      </c>
      <c r="F62" s="40">
        <v>46045</v>
      </c>
      <c r="G62" s="41">
        <v>144</v>
      </c>
      <c r="H62" s="105">
        <v>46113</v>
      </c>
      <c r="I62" s="42" t="s">
        <v>207</v>
      </c>
      <c r="J62" s="43" t="s">
        <v>208</v>
      </c>
      <c r="K62" s="39" t="s">
        <v>65</v>
      </c>
      <c r="L62" s="5">
        <v>46148</v>
      </c>
      <c r="M62"/>
    </row>
    <row r="63" spans="2:13" ht="44.45" customHeight="1" x14ac:dyDescent="0.25">
      <c r="B63" s="31">
        <v>172</v>
      </c>
      <c r="C63" s="30" t="s">
        <v>91</v>
      </c>
      <c r="D63" s="27" t="s">
        <v>15</v>
      </c>
      <c r="E63" s="27" t="s">
        <v>154</v>
      </c>
      <c r="F63" s="40">
        <v>46149</v>
      </c>
      <c r="G63" s="41">
        <v>40</v>
      </c>
      <c r="H63" s="105">
        <v>46174</v>
      </c>
      <c r="I63" s="42" t="s">
        <v>122</v>
      </c>
      <c r="J63" s="43" t="s">
        <v>176</v>
      </c>
      <c r="K63" s="39" t="s">
        <v>174</v>
      </c>
      <c r="L63" s="5">
        <v>46148</v>
      </c>
    </row>
    <row r="64" spans="2:13" ht="44.45" customHeight="1" x14ac:dyDescent="0.25">
      <c r="B64" s="31">
        <v>173</v>
      </c>
      <c r="C64" s="30" t="s">
        <v>90</v>
      </c>
      <c r="D64" s="27" t="s">
        <v>15</v>
      </c>
      <c r="E64" s="27" t="s">
        <v>154</v>
      </c>
      <c r="F64" s="40">
        <v>46149</v>
      </c>
      <c r="G64" s="41">
        <v>39</v>
      </c>
      <c r="H64" s="105" t="s">
        <v>410</v>
      </c>
      <c r="I64" s="42" t="s">
        <v>130</v>
      </c>
      <c r="J64" s="43" t="s">
        <v>173</v>
      </c>
      <c r="K64" s="39" t="s">
        <v>129</v>
      </c>
      <c r="L64" s="5">
        <v>46148</v>
      </c>
    </row>
    <row r="65" spans="2:13" ht="85.5" customHeight="1" x14ac:dyDescent="0.25">
      <c r="B65" s="31">
        <v>171</v>
      </c>
      <c r="C65" s="30" t="s">
        <v>90</v>
      </c>
      <c r="D65" s="27" t="s">
        <v>15</v>
      </c>
      <c r="E65" s="27" t="s">
        <v>154</v>
      </c>
      <c r="F65" s="40">
        <v>46134</v>
      </c>
      <c r="G65" s="41">
        <v>55</v>
      </c>
      <c r="H65" s="105" t="s">
        <v>410</v>
      </c>
      <c r="I65" s="42" t="s">
        <v>111</v>
      </c>
      <c r="J65" s="43" t="s">
        <v>180</v>
      </c>
      <c r="K65" s="39" t="s">
        <v>373</v>
      </c>
      <c r="L65" s="5">
        <v>46148</v>
      </c>
    </row>
    <row r="66" spans="2:13" ht="44.45" customHeight="1" x14ac:dyDescent="0.25">
      <c r="B66" s="31">
        <v>149</v>
      </c>
      <c r="C66" s="30" t="s">
        <v>90</v>
      </c>
      <c r="D66" s="27" t="s">
        <v>15</v>
      </c>
      <c r="E66" s="27" t="s">
        <v>154</v>
      </c>
      <c r="F66" s="40">
        <v>46065</v>
      </c>
      <c r="G66" s="41">
        <v>124</v>
      </c>
      <c r="H66" s="105" t="s">
        <v>410</v>
      </c>
      <c r="I66" s="42" t="s">
        <v>42</v>
      </c>
      <c r="J66" s="43" t="s">
        <v>195</v>
      </c>
      <c r="K66" s="39" t="s">
        <v>73</v>
      </c>
      <c r="L66" s="5">
        <v>46148</v>
      </c>
    </row>
    <row r="67" spans="2:13" ht="44.45" customHeight="1" thickBot="1" x14ac:dyDescent="0.3">
      <c r="B67" s="31">
        <v>147</v>
      </c>
      <c r="C67" s="30" t="s">
        <v>90</v>
      </c>
      <c r="D67" s="27" t="s">
        <v>15</v>
      </c>
      <c r="E67" s="27" t="s">
        <v>154</v>
      </c>
      <c r="F67" s="40">
        <v>46065</v>
      </c>
      <c r="G67" s="41">
        <v>124</v>
      </c>
      <c r="H67" s="105" t="s">
        <v>410</v>
      </c>
      <c r="I67" s="42" t="s">
        <v>78</v>
      </c>
      <c r="J67" s="43" t="s">
        <v>200</v>
      </c>
      <c r="K67" s="39" t="s">
        <v>370</v>
      </c>
      <c r="L67" s="5">
        <v>46148</v>
      </c>
    </row>
    <row r="68" spans="2:13" ht="27.75" customHeight="1" x14ac:dyDescent="0.25">
      <c r="B68" s="163" t="s">
        <v>67</v>
      </c>
      <c r="C68" s="164"/>
      <c r="D68" s="164"/>
      <c r="E68" s="164"/>
      <c r="F68" s="164"/>
      <c r="G68" s="164"/>
      <c r="H68" s="164"/>
      <c r="I68" s="164"/>
      <c r="J68" s="164"/>
      <c r="K68" s="165"/>
      <c r="L68" s="5">
        <v>46148</v>
      </c>
    </row>
    <row r="69" spans="2:13" ht="44.45" customHeight="1" x14ac:dyDescent="0.25">
      <c r="B69" s="29" t="s">
        <v>120</v>
      </c>
      <c r="C69" s="29" t="s">
        <v>93</v>
      </c>
      <c r="D69" s="29" t="s">
        <v>2</v>
      </c>
      <c r="E69" s="29" t="s">
        <v>0</v>
      </c>
      <c r="F69" s="36" t="s">
        <v>1</v>
      </c>
      <c r="G69" s="29" t="s">
        <v>11</v>
      </c>
      <c r="H69" s="104" t="s">
        <v>112</v>
      </c>
      <c r="I69" s="29" t="s">
        <v>5</v>
      </c>
      <c r="J69" s="29" t="s">
        <v>9</v>
      </c>
      <c r="K69" s="29" t="s">
        <v>7</v>
      </c>
      <c r="L69" s="4"/>
      <c r="M69" s="26" t="e">
        <f>#REF!-L66</f>
        <v>#REF!</v>
      </c>
    </row>
    <row r="70" spans="2:13" ht="66.599999999999994" customHeight="1" x14ac:dyDescent="0.25">
      <c r="B70" s="31">
        <v>166</v>
      </c>
      <c r="C70" s="30" t="s">
        <v>90</v>
      </c>
      <c r="D70" s="27" t="s">
        <v>15</v>
      </c>
      <c r="E70" s="27" t="s">
        <v>121</v>
      </c>
      <c r="F70" s="40">
        <v>46114</v>
      </c>
      <c r="G70" s="41">
        <v>75</v>
      </c>
      <c r="H70" s="105" t="s">
        <v>410</v>
      </c>
      <c r="I70" s="42" t="s">
        <v>79</v>
      </c>
      <c r="J70" s="43" t="s">
        <v>80</v>
      </c>
      <c r="K70" s="39" t="s">
        <v>187</v>
      </c>
      <c r="L70" s="5">
        <v>46148</v>
      </c>
    </row>
    <row r="71" spans="2:13" ht="24.75" customHeight="1" x14ac:dyDescent="0.25">
      <c r="B71" s="31">
        <v>146</v>
      </c>
      <c r="C71" s="30" t="s">
        <v>90</v>
      </c>
      <c r="D71" s="27" t="s">
        <v>15</v>
      </c>
      <c r="E71" s="27" t="s">
        <v>121</v>
      </c>
      <c r="F71" s="40">
        <v>46063</v>
      </c>
      <c r="G71" s="41">
        <v>126</v>
      </c>
      <c r="H71" s="105" t="s">
        <v>410</v>
      </c>
      <c r="I71" s="42" t="s">
        <v>137</v>
      </c>
      <c r="J71" s="43" t="s">
        <v>17</v>
      </c>
      <c r="K71" s="39" t="s">
        <v>124</v>
      </c>
      <c r="L71" s="5">
        <v>46148</v>
      </c>
    </row>
    <row r="72" spans="2:13" s="4" customFormat="1" ht="24.75" customHeight="1" thickBot="1" x14ac:dyDescent="0.3">
      <c r="B72" s="31">
        <v>144</v>
      </c>
      <c r="C72" s="30" t="s">
        <v>90</v>
      </c>
      <c r="D72" s="27" t="s">
        <v>15</v>
      </c>
      <c r="E72" s="27" t="s">
        <v>121</v>
      </c>
      <c r="F72" s="40">
        <v>46059</v>
      </c>
      <c r="G72" s="41">
        <v>129</v>
      </c>
      <c r="H72" s="105" t="s">
        <v>410</v>
      </c>
      <c r="I72" s="42" t="s">
        <v>78</v>
      </c>
      <c r="J72" s="43" t="s">
        <v>67</v>
      </c>
      <c r="K72" s="39" t="s">
        <v>279</v>
      </c>
      <c r="L72" s="5">
        <v>46148</v>
      </c>
      <c r="M72"/>
    </row>
    <row r="73" spans="2:13" ht="24.75" customHeight="1" thickBot="1" x14ac:dyDescent="0.3">
      <c r="B73" s="163" t="s">
        <v>49</v>
      </c>
      <c r="C73" s="164"/>
      <c r="D73" s="164"/>
      <c r="E73" s="164"/>
      <c r="F73" s="164"/>
      <c r="G73" s="164"/>
      <c r="H73" s="164"/>
      <c r="I73" s="164"/>
      <c r="J73" s="164"/>
      <c r="K73" s="165"/>
      <c r="L73" s="5">
        <v>46148</v>
      </c>
    </row>
    <row r="74" spans="2:13" ht="24.75" customHeight="1" x14ac:dyDescent="0.25">
      <c r="B74" s="106" t="s">
        <v>120</v>
      </c>
      <c r="C74" s="107" t="s">
        <v>93</v>
      </c>
      <c r="D74" s="107" t="s">
        <v>2</v>
      </c>
      <c r="E74" s="107" t="s">
        <v>0</v>
      </c>
      <c r="F74" s="108" t="s">
        <v>1</v>
      </c>
      <c r="G74" s="107" t="s">
        <v>11</v>
      </c>
      <c r="H74" s="109" t="s">
        <v>112</v>
      </c>
      <c r="I74" s="107" t="s">
        <v>5</v>
      </c>
      <c r="J74" s="107" t="s">
        <v>9</v>
      </c>
      <c r="K74" s="110" t="s">
        <v>7</v>
      </c>
      <c r="L74" s="4"/>
      <c r="M74" s="26" t="e">
        <f>M69-L71</f>
        <v>#REF!</v>
      </c>
    </row>
    <row r="75" spans="2:13" ht="60" customHeight="1" thickBot="1" x14ac:dyDescent="0.3">
      <c r="B75" s="111">
        <v>194</v>
      </c>
      <c r="C75" s="112" t="s">
        <v>90</v>
      </c>
      <c r="D75" s="113" t="s">
        <v>15</v>
      </c>
      <c r="E75" s="113" t="s">
        <v>154</v>
      </c>
      <c r="F75" s="114">
        <v>46196</v>
      </c>
      <c r="G75" s="115">
        <v>0</v>
      </c>
      <c r="H75" s="116" t="s">
        <v>410</v>
      </c>
      <c r="I75" s="117" t="s">
        <v>383</v>
      </c>
      <c r="J75" s="118" t="s">
        <v>359</v>
      </c>
      <c r="K75" s="119" t="s">
        <v>360</v>
      </c>
    </row>
    <row r="77" spans="2:13" s="4" customFormat="1" ht="24.75" customHeight="1" x14ac:dyDescent="0.25">
      <c r="B77"/>
      <c r="C77" s="3"/>
      <c r="D77" s="38"/>
      <c r="E77" s="3"/>
      <c r="F77" s="32"/>
      <c r="G77" s="3"/>
      <c r="H77" s="102"/>
      <c r="I77"/>
      <c r="K77"/>
      <c r="L77"/>
      <c r="M77"/>
    </row>
    <row r="78" spans="2:13" ht="45" customHeight="1" x14ac:dyDescent="0.25"/>
  </sheetData>
  <mergeCells count="18">
    <mergeCell ref="B20:K20"/>
    <mergeCell ref="B59:K59"/>
    <mergeCell ref="B45:K45"/>
    <mergeCell ref="B68:K68"/>
    <mergeCell ref="B73:K73"/>
    <mergeCell ref="B19:K19"/>
    <mergeCell ref="B10:K10"/>
    <mergeCell ref="B2:K2"/>
    <mergeCell ref="B3:K3"/>
    <mergeCell ref="B4:K4"/>
    <mergeCell ref="B5:K5"/>
    <mergeCell ref="B6:D6"/>
    <mergeCell ref="E6:K6"/>
    <mergeCell ref="B7:D7"/>
    <mergeCell ref="E7:K7"/>
    <mergeCell ref="B8:D8"/>
    <mergeCell ref="E8:K8"/>
    <mergeCell ref="B9:K9"/>
  </mergeCells>
  <conditionalFormatting sqref="C22:C44 C47:C58 C61:C67">
    <cfRule type="containsText" dxfId="42" priority="14" operator="containsText" text="Rojo">
      <formula>NOT(ISERROR(SEARCH("Rojo",C22)))</formula>
    </cfRule>
    <cfRule type="containsText" dxfId="41" priority="15" operator="containsText" text="Amarillo">
      <formula>NOT(ISERROR(SEARCH("Amarillo",C22)))</formula>
    </cfRule>
    <cfRule type="containsText" dxfId="40" priority="16" operator="containsText" text="Verde">
      <formula>NOT(ISERROR(SEARCH("Verde",C22)))</formula>
    </cfRule>
  </conditionalFormatting>
  <conditionalFormatting sqref="C70:C72">
    <cfRule type="containsText" dxfId="39" priority="20" operator="containsText" text="Rojo">
      <formula>NOT(ISERROR(SEARCH("Rojo",C70)))</formula>
    </cfRule>
    <cfRule type="containsText" dxfId="38" priority="21" operator="containsText" text="Amarillo">
      <formula>NOT(ISERROR(SEARCH("Amarillo",C70)))</formula>
    </cfRule>
    <cfRule type="containsText" dxfId="37" priority="22" operator="containsText" text="Verde">
      <formula>NOT(ISERROR(SEARCH("Verde",C70)))</formula>
    </cfRule>
  </conditionalFormatting>
  <conditionalFormatting sqref="C75">
    <cfRule type="containsText" dxfId="36" priority="54" operator="containsText" text="Verde">
      <formula>NOT(ISERROR(SEARCH("Verde",C75)))</formula>
    </cfRule>
    <cfRule type="containsText" dxfId="35" priority="53" operator="containsText" text="Amarillo">
      <formula>NOT(ISERROR(SEARCH("Amarillo",C75)))</formula>
    </cfRule>
    <cfRule type="containsText" dxfId="34" priority="52" operator="containsText" text="Rojo">
      <formula>NOT(ISERROR(SEARCH("Rojo",C75)))</formula>
    </cfRule>
  </conditionalFormatting>
  <conditionalFormatting sqref="C11:D11">
    <cfRule type="containsText" dxfId="33" priority="120" operator="containsText" text="Verde">
      <formula>NOT(ISERROR(SEARCH("Verde",C11)))</formula>
    </cfRule>
    <cfRule type="containsText" dxfId="32" priority="119" operator="containsText" text="Amarillo">
      <formula>NOT(ISERROR(SEARCH("Amarillo",C11)))</formula>
    </cfRule>
    <cfRule type="containsText" dxfId="31" priority="118" operator="containsText" text="Rojo">
      <formula>NOT(ISERROR(SEARCH("Rojo",C11)))</formula>
    </cfRule>
  </conditionalFormatting>
  <conditionalFormatting sqref="D22:E44">
    <cfRule type="containsText" dxfId="30" priority="10" operator="containsText" text="Comprometido">
      <formula>NOT(ISERROR(SEARCH("Comprometido",D22)))</formula>
    </cfRule>
    <cfRule type="containsText" dxfId="29" priority="11" operator="containsText" text="Resuelto">
      <formula>NOT(ISERROR(SEARCH("Resuelto",D22)))</formula>
    </cfRule>
    <cfRule type="containsText" dxfId="28" priority="12" operator="containsText" text="Sin Acción">
      <formula>NOT(ISERROR(SEARCH("Sin Acción",D22)))</formula>
    </cfRule>
  </conditionalFormatting>
  <conditionalFormatting sqref="D47:E58">
    <cfRule type="containsText" dxfId="27" priority="7" operator="containsText" text="Comprometido">
      <formula>NOT(ISERROR(SEARCH("Comprometido",D47)))</formula>
    </cfRule>
    <cfRule type="containsText" dxfId="26" priority="8" operator="containsText" text="Resuelto">
      <formula>NOT(ISERROR(SEARCH("Resuelto",D47)))</formula>
    </cfRule>
    <cfRule type="containsText" dxfId="25" priority="9" operator="containsText" text="Sin Acción">
      <formula>NOT(ISERROR(SEARCH("Sin Acción",D47)))</formula>
    </cfRule>
  </conditionalFormatting>
  <conditionalFormatting sqref="D61:E67">
    <cfRule type="containsText" dxfId="24" priority="4" operator="containsText" text="Comprometido">
      <formula>NOT(ISERROR(SEARCH("Comprometido",D61)))</formula>
    </cfRule>
    <cfRule type="containsText" dxfId="23" priority="5" operator="containsText" text="Resuelto">
      <formula>NOT(ISERROR(SEARCH("Resuelto",D61)))</formula>
    </cfRule>
    <cfRule type="containsText" dxfId="22" priority="6" operator="containsText" text="Sin Acción">
      <formula>NOT(ISERROR(SEARCH("Sin Acción",D61)))</formula>
    </cfRule>
  </conditionalFormatting>
  <conditionalFormatting sqref="D70:E72">
    <cfRule type="containsText" dxfId="21" priority="2" operator="containsText" text="Resuelto">
      <formula>NOT(ISERROR(SEARCH("Resuelto",D70)))</formula>
    </cfRule>
    <cfRule type="containsText" dxfId="20" priority="3" operator="containsText" text="Sin Acción">
      <formula>NOT(ISERROR(SEARCH("Sin Acción",D70)))</formula>
    </cfRule>
    <cfRule type="containsText" dxfId="19" priority="1" operator="containsText" text="Comprometido">
      <formula>NOT(ISERROR(SEARCH("Comprometido",D70)))</formula>
    </cfRule>
  </conditionalFormatting>
  <conditionalFormatting sqref="D75:E75">
    <cfRule type="containsText" dxfId="18" priority="55" operator="containsText" text="Comprometido">
      <formula>NOT(ISERROR(SEARCH("Comprometido",D75)))</formula>
    </cfRule>
    <cfRule type="containsText" dxfId="17" priority="56" operator="containsText" text="Resuelto">
      <formula>NOT(ISERROR(SEARCH("Resuelto",D75)))</formula>
    </cfRule>
    <cfRule type="containsText" dxfId="16" priority="57" operator="containsText" text="Sin Acción">
      <formula>NOT(ISERROR(SEARCH("Sin Acción",D75)))</formula>
    </cfRule>
  </conditionalFormatting>
  <conditionalFormatting sqref="E11">
    <cfRule type="containsText" dxfId="15" priority="138" operator="containsText" text="Rojo">
      <formula>NOT(ISERROR(SEARCH("Rojo",E11)))</formula>
    </cfRule>
    <cfRule type="containsText" dxfId="14" priority="139" operator="containsText" text="Amarillo">
      <formula>NOT(ISERROR(SEARCH("Amarillo",E11)))</formula>
    </cfRule>
    <cfRule type="containsText" dxfId="13" priority="140" operator="containsText" text="Verde">
      <formula>NOT(ISERROR(SEARCH("Verde",E11)))</formula>
    </cfRule>
  </conditionalFormatting>
  <conditionalFormatting sqref="G3:G1048576 G1">
    <cfRule type="dataBar" priority="13">
      <dataBar>
        <cfvo type="min"/>
        <cfvo type="max"/>
        <color rgb="FFFF555A"/>
      </dataBar>
      <extLst>
        <ext xmlns:x14="http://schemas.microsoft.com/office/spreadsheetml/2009/9/main" uri="{B025F937-C7B1-47D3-B67F-A62EFF666E3E}">
          <x14:id>{EB3A3C98-226A-4DF0-968C-79BFECF20221}</x14:id>
        </ext>
      </extLst>
    </cfRule>
  </conditionalFormatting>
  <conditionalFormatting sqref="G22:G44">
    <cfRule type="dataBar" priority="48">
      <dataBar>
        <cfvo type="min"/>
        <cfvo type="max"/>
        <color rgb="FFFF6B6B"/>
      </dataBar>
      <extLst>
        <ext xmlns:x14="http://schemas.microsoft.com/office/spreadsheetml/2009/9/main" uri="{B025F937-C7B1-47D3-B67F-A62EFF666E3E}">
          <x14:id>{4C5E2C6B-39D4-4113-B2BE-5B0581BF7C3D}</x14:id>
        </ext>
      </extLst>
    </cfRule>
    <cfRule type="dataBar" priority="49">
      <dataBar>
        <cfvo type="min"/>
        <cfvo type="max"/>
        <color rgb="FFFF555A"/>
      </dataBar>
      <extLst>
        <ext xmlns:x14="http://schemas.microsoft.com/office/spreadsheetml/2009/9/main" uri="{B025F937-C7B1-47D3-B67F-A62EFF666E3E}">
          <x14:id>{3F52F427-ED24-4096-97D6-80C033D9A312}</x14:id>
        </ext>
      </extLst>
    </cfRule>
  </conditionalFormatting>
  <conditionalFormatting sqref="G47 G56 G62">
    <cfRule type="dataBar" priority="830">
      <dataBar>
        <cfvo type="min"/>
        <cfvo type="max"/>
        <color rgb="FFFF6B6B"/>
      </dataBar>
      <extLst>
        <ext xmlns:x14="http://schemas.microsoft.com/office/spreadsheetml/2009/9/main" uri="{B025F937-C7B1-47D3-B67F-A62EFF666E3E}">
          <x14:id>{37E0EC60-6563-4A05-A31C-6DE63AC8318A}</x14:id>
        </ext>
      </extLst>
    </cfRule>
  </conditionalFormatting>
  <conditionalFormatting sqref="G47:G58">
    <cfRule type="dataBar" priority="901">
      <dataBar>
        <cfvo type="min"/>
        <cfvo type="max"/>
        <color rgb="FFFF555A"/>
      </dataBar>
      <extLst>
        <ext xmlns:x14="http://schemas.microsoft.com/office/spreadsheetml/2009/9/main" uri="{B025F937-C7B1-47D3-B67F-A62EFF666E3E}">
          <x14:id>{D54E24E8-DF28-4A2F-ACC6-1B45EDEF5B99}</x14:id>
        </ext>
      </extLst>
    </cfRule>
    <cfRule type="dataBar" priority="900">
      <dataBar>
        <cfvo type="min"/>
        <cfvo type="max"/>
        <color rgb="FFFF6B6B"/>
      </dataBar>
      <extLst>
        <ext xmlns:x14="http://schemas.microsoft.com/office/spreadsheetml/2009/9/main" uri="{B025F937-C7B1-47D3-B67F-A62EFF666E3E}">
          <x14:id>{84B1C150-8A6D-4DF3-BABE-B9D276DEF5F1}</x14:id>
        </ext>
      </extLst>
    </cfRule>
  </conditionalFormatting>
  <conditionalFormatting sqref="G57:G58 G48:G55">
    <cfRule type="dataBar" priority="307">
      <dataBar>
        <cfvo type="min"/>
        <cfvo type="max"/>
        <color rgb="FFFF6B6B"/>
      </dataBar>
      <extLst>
        <ext xmlns:x14="http://schemas.microsoft.com/office/spreadsheetml/2009/9/main" uri="{B025F937-C7B1-47D3-B67F-A62EFF666E3E}">
          <x14:id>{5520711F-2E3F-4E88-A0D3-8BCC428900C2}</x14:id>
        </ext>
      </extLst>
    </cfRule>
  </conditionalFormatting>
  <conditionalFormatting sqref="G61:G67">
    <cfRule type="dataBar" priority="854">
      <dataBar>
        <cfvo type="min"/>
        <cfvo type="max"/>
        <color rgb="FFFF6B6B"/>
      </dataBar>
      <extLst>
        <ext xmlns:x14="http://schemas.microsoft.com/office/spreadsheetml/2009/9/main" uri="{B025F937-C7B1-47D3-B67F-A62EFF666E3E}">
          <x14:id>{C03E5160-FD4E-4C01-AED7-9C4823DC700E}</x14:id>
        </ext>
      </extLst>
    </cfRule>
    <cfRule type="dataBar" priority="855">
      <dataBar>
        <cfvo type="min"/>
        <cfvo type="max"/>
        <color rgb="FFFF555A"/>
      </dataBar>
      <extLst>
        <ext xmlns:x14="http://schemas.microsoft.com/office/spreadsheetml/2009/9/main" uri="{B025F937-C7B1-47D3-B67F-A62EFF666E3E}">
          <x14:id>{EED314A9-96E4-489D-A9C4-3B3636FA5733}</x14:id>
        </ext>
      </extLst>
    </cfRule>
  </conditionalFormatting>
  <conditionalFormatting sqref="G63:G67">
    <cfRule type="dataBar" priority="858">
      <dataBar>
        <cfvo type="min"/>
        <cfvo type="max"/>
        <color rgb="FFFF6B6B"/>
      </dataBar>
      <extLst>
        <ext xmlns:x14="http://schemas.microsoft.com/office/spreadsheetml/2009/9/main" uri="{B025F937-C7B1-47D3-B67F-A62EFF666E3E}">
          <x14:id>{12DC2A3C-BB95-441F-83C4-3F3FDB238193}</x14:id>
        </ext>
      </extLst>
    </cfRule>
  </conditionalFormatting>
  <conditionalFormatting sqref="G70:G71">
    <cfRule type="dataBar" priority="30">
      <dataBar>
        <cfvo type="min"/>
        <cfvo type="max"/>
        <color rgb="FFFF6B6B"/>
      </dataBar>
      <extLst>
        <ext xmlns:x14="http://schemas.microsoft.com/office/spreadsheetml/2009/9/main" uri="{B025F937-C7B1-47D3-B67F-A62EFF666E3E}">
          <x14:id>{025B7476-6FF6-4DAE-B2AB-5417F36D19F0}</x14:id>
        </ext>
      </extLst>
    </cfRule>
  </conditionalFormatting>
  <conditionalFormatting sqref="G70:G72">
    <cfRule type="dataBar" priority="29">
      <dataBar>
        <cfvo type="min"/>
        <cfvo type="max"/>
        <color rgb="FFFF555A"/>
      </dataBar>
      <extLst>
        <ext xmlns:x14="http://schemas.microsoft.com/office/spreadsheetml/2009/9/main" uri="{B025F937-C7B1-47D3-B67F-A62EFF666E3E}">
          <x14:id>{0F7436B4-BA07-4A22-9BFE-71B93664332B}</x14:id>
        </ext>
      </extLst>
    </cfRule>
    <cfRule type="dataBar" priority="28">
      <dataBar>
        <cfvo type="min"/>
        <cfvo type="max"/>
        <color rgb="FFFF6B6B"/>
      </dataBar>
      <extLst>
        <ext xmlns:x14="http://schemas.microsoft.com/office/spreadsheetml/2009/9/main" uri="{B025F937-C7B1-47D3-B67F-A62EFF666E3E}">
          <x14:id>{CBC790A6-47C1-4679-9E76-F6A3A6EE017C}</x14:id>
        </ext>
      </extLst>
    </cfRule>
  </conditionalFormatting>
  <conditionalFormatting sqref="G72">
    <cfRule type="dataBar" priority="27">
      <dataBar>
        <cfvo type="min"/>
        <cfvo type="max"/>
        <color rgb="FFFF6B6B"/>
      </dataBar>
      <extLst>
        <ext xmlns:x14="http://schemas.microsoft.com/office/spreadsheetml/2009/9/main" uri="{B025F937-C7B1-47D3-B67F-A62EFF666E3E}">
          <x14:id>{624BAD1D-F7F4-4024-8670-4D7218594438}</x14:id>
        </ext>
      </extLst>
    </cfRule>
  </conditionalFormatting>
  <conditionalFormatting sqref="G75">
    <cfRule type="dataBar" priority="50">
      <dataBar>
        <cfvo type="min"/>
        <cfvo type="max"/>
        <color rgb="FFFF555A"/>
      </dataBar>
      <extLst>
        <ext xmlns:x14="http://schemas.microsoft.com/office/spreadsheetml/2009/9/main" uri="{B025F937-C7B1-47D3-B67F-A62EFF666E3E}">
          <x14:id>{9BC60595-1D2F-470A-B772-19DBC42610C6}</x14:id>
        </ext>
      </extLst>
    </cfRule>
    <cfRule type="dataBar" priority="51">
      <dataBar>
        <cfvo type="min"/>
        <cfvo type="max"/>
        <color rgb="FFFF6B6B"/>
      </dataBar>
      <extLst>
        <ext xmlns:x14="http://schemas.microsoft.com/office/spreadsheetml/2009/9/main" uri="{B025F937-C7B1-47D3-B67F-A62EFF666E3E}">
          <x14:id>{3160FEBD-8BD7-4E2E-8F3A-FB26ED45755E}</x14:id>
        </ext>
      </extLst>
    </cfRule>
  </conditionalFormatting>
  <pageMargins left="0.70866141732283472" right="0.70866141732283472" top="0.74803149606299213" bottom="0.74803149606299213" header="0.31496062992125984" footer="0.31496062992125984"/>
  <pageSetup scale="23" orientation="portrait" r:id="rId1"/>
  <extLst>
    <ext xmlns:x14="http://schemas.microsoft.com/office/spreadsheetml/2009/9/main" uri="{78C0D931-6437-407d-A8EE-F0AAD7539E65}">
      <x14:conditionalFormattings>
        <x14:conditionalFormatting xmlns:xm="http://schemas.microsoft.com/office/excel/2006/main">
          <x14:cfRule type="dataBar" id="{EB3A3C98-226A-4DF0-968C-79BFECF20221}">
            <x14:dataBar minLength="0" maxLength="100" gradient="0">
              <x14:cfvo type="autoMin"/>
              <x14:cfvo type="autoMax"/>
              <x14:negativeFillColor rgb="FFFF0000"/>
              <x14:axisColor rgb="FF000000"/>
            </x14:dataBar>
          </x14:cfRule>
          <xm:sqref>G3:G1048576 G1</xm:sqref>
        </x14:conditionalFormatting>
        <x14:conditionalFormatting xmlns:xm="http://schemas.microsoft.com/office/excel/2006/main">
          <x14:cfRule type="dataBar" id="{4C5E2C6B-39D4-4113-B2BE-5B0581BF7C3D}">
            <x14:dataBar minLength="0" maxLength="100" border="1" direction="leftToRight" negativeBarColorSameAsPositive="1" axisPosition="none">
              <x14:cfvo type="min"/>
              <x14:cfvo type="max"/>
              <x14:borderColor rgb="FFCC0000"/>
            </x14:dataBar>
          </x14:cfRule>
          <x14:cfRule type="dataBar" id="{3F52F427-ED24-4096-97D6-80C033D9A312}">
            <x14:dataBar minLength="0" maxLength="100" border="1" negativeBarBorderColorSameAsPositive="0">
              <x14:cfvo type="autoMin"/>
              <x14:cfvo type="autoMax"/>
              <x14:borderColor rgb="FFFF555A"/>
              <x14:negativeFillColor rgb="FFFF0000"/>
              <x14:negativeBorderColor rgb="FFFF0000"/>
              <x14:axisColor rgb="FF000000"/>
            </x14:dataBar>
          </x14:cfRule>
          <xm:sqref>G22:G44</xm:sqref>
        </x14:conditionalFormatting>
        <x14:conditionalFormatting xmlns:xm="http://schemas.microsoft.com/office/excel/2006/main">
          <x14:cfRule type="dataBar" id="{37E0EC60-6563-4A05-A31C-6DE63AC8318A}">
            <x14:dataBar minLength="0" maxLength="100" border="1" direction="leftToRight" negativeBarColorSameAsPositive="1" axisPosition="none">
              <x14:cfvo type="min"/>
              <x14:cfvo type="max"/>
              <x14:borderColor rgb="FFCC0000"/>
            </x14:dataBar>
          </x14:cfRule>
          <xm:sqref>G47 G56 G62</xm:sqref>
        </x14:conditionalFormatting>
        <x14:conditionalFormatting xmlns:xm="http://schemas.microsoft.com/office/excel/2006/main">
          <x14:cfRule type="dataBar" id="{D54E24E8-DF28-4A2F-ACC6-1B45EDEF5B99}">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84B1C150-8A6D-4DF3-BABE-B9D276DEF5F1}">
            <x14:dataBar minLength="0" maxLength="100" border="1" direction="leftToRight" negativeBarColorSameAsPositive="1" axisPosition="none">
              <x14:cfvo type="min"/>
              <x14:cfvo type="max"/>
              <x14:borderColor rgb="FFCC0000"/>
            </x14:dataBar>
          </x14:cfRule>
          <xm:sqref>G47:G58</xm:sqref>
        </x14:conditionalFormatting>
        <x14:conditionalFormatting xmlns:xm="http://schemas.microsoft.com/office/excel/2006/main">
          <x14:cfRule type="dataBar" id="{5520711F-2E3F-4E88-A0D3-8BCC428900C2}">
            <x14:dataBar minLength="0" maxLength="100" border="1" direction="leftToRight" negativeBarColorSameAsPositive="1" axisPosition="none">
              <x14:cfvo type="min"/>
              <x14:cfvo type="max"/>
              <x14:borderColor rgb="FFCC0000"/>
            </x14:dataBar>
          </x14:cfRule>
          <xm:sqref>G57:G58 G48:G55</xm:sqref>
        </x14:conditionalFormatting>
        <x14:conditionalFormatting xmlns:xm="http://schemas.microsoft.com/office/excel/2006/main">
          <x14:cfRule type="dataBar" id="{C03E5160-FD4E-4C01-AED7-9C4823DC700E}">
            <x14:dataBar minLength="0" maxLength="100" border="1" direction="leftToRight" negativeBarColorSameAsPositive="1" axisPosition="none">
              <x14:cfvo type="min"/>
              <x14:cfvo type="max"/>
              <x14:borderColor rgb="FFCC0000"/>
            </x14:dataBar>
          </x14:cfRule>
          <x14:cfRule type="dataBar" id="{EED314A9-96E4-489D-A9C4-3B3636FA5733}">
            <x14:dataBar minLength="0" maxLength="100" border="1" negativeBarBorderColorSameAsPositive="0">
              <x14:cfvo type="autoMin"/>
              <x14:cfvo type="autoMax"/>
              <x14:borderColor rgb="FFFF555A"/>
              <x14:negativeFillColor rgb="FFFF0000"/>
              <x14:negativeBorderColor rgb="FFFF0000"/>
              <x14:axisColor rgb="FF000000"/>
            </x14:dataBar>
          </x14:cfRule>
          <xm:sqref>G61:G67</xm:sqref>
        </x14:conditionalFormatting>
        <x14:conditionalFormatting xmlns:xm="http://schemas.microsoft.com/office/excel/2006/main">
          <x14:cfRule type="dataBar" id="{12DC2A3C-BB95-441F-83C4-3F3FDB238193}">
            <x14:dataBar minLength="0" maxLength="100" border="1" direction="leftToRight" negativeBarColorSameAsPositive="1" axisPosition="none">
              <x14:cfvo type="min"/>
              <x14:cfvo type="max"/>
              <x14:borderColor rgb="FFCC0000"/>
            </x14:dataBar>
          </x14:cfRule>
          <xm:sqref>G63:G67</xm:sqref>
        </x14:conditionalFormatting>
        <x14:conditionalFormatting xmlns:xm="http://schemas.microsoft.com/office/excel/2006/main">
          <x14:cfRule type="dataBar" id="{025B7476-6FF6-4DAE-B2AB-5417F36D19F0}">
            <x14:dataBar minLength="0" maxLength="100" border="1" direction="leftToRight" negativeBarColorSameAsPositive="1" axisPosition="none">
              <x14:cfvo type="min"/>
              <x14:cfvo type="max"/>
              <x14:borderColor rgb="FFCC0000"/>
            </x14:dataBar>
          </x14:cfRule>
          <xm:sqref>G70:G71</xm:sqref>
        </x14:conditionalFormatting>
        <x14:conditionalFormatting xmlns:xm="http://schemas.microsoft.com/office/excel/2006/main">
          <x14:cfRule type="dataBar" id="{0F7436B4-BA07-4A22-9BFE-71B93664332B}">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CBC790A6-47C1-4679-9E76-F6A3A6EE017C}">
            <x14:dataBar minLength="0" maxLength="100" border="1" direction="leftToRight" negativeBarColorSameAsPositive="1" axisPosition="none">
              <x14:cfvo type="min"/>
              <x14:cfvo type="max"/>
              <x14:borderColor rgb="FFCC0000"/>
            </x14:dataBar>
          </x14:cfRule>
          <xm:sqref>G70:G72</xm:sqref>
        </x14:conditionalFormatting>
        <x14:conditionalFormatting xmlns:xm="http://schemas.microsoft.com/office/excel/2006/main">
          <x14:cfRule type="dataBar" id="{624BAD1D-F7F4-4024-8670-4D7218594438}">
            <x14:dataBar minLength="0" maxLength="100" border="1" direction="leftToRight" negativeBarColorSameAsPositive="1" axisPosition="none">
              <x14:cfvo type="min"/>
              <x14:cfvo type="max"/>
              <x14:borderColor rgb="FFCC0000"/>
            </x14:dataBar>
          </x14:cfRule>
          <xm:sqref>G72</xm:sqref>
        </x14:conditionalFormatting>
        <x14:conditionalFormatting xmlns:xm="http://schemas.microsoft.com/office/excel/2006/main">
          <x14:cfRule type="dataBar" id="{9BC60595-1D2F-470A-B772-19DBC42610C6}">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3160FEBD-8BD7-4E2E-8F3A-FB26ED45755E}">
            <x14:dataBar minLength="0" maxLength="100" border="1" direction="leftToRight" negativeBarColorSameAsPositive="1" axisPosition="none">
              <x14:cfvo type="min"/>
              <x14:cfvo type="max"/>
              <x14:borderColor rgb="FFCC0000"/>
            </x14:dataBar>
          </x14:cfRule>
          <xm:sqref>G75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F3029-D634-4B5C-AB0F-204F8BF0492F}">
  <sheetPr>
    <pageSetUpPr fitToPage="1"/>
  </sheetPr>
  <dimension ref="B1:Y59"/>
  <sheetViews>
    <sheetView zoomScale="70" zoomScaleNormal="70" workbookViewId="0">
      <selection activeCell="F22" sqref="F22"/>
    </sheetView>
  </sheetViews>
  <sheetFormatPr baseColWidth="10" defaultColWidth="16.85546875" defaultRowHeight="15" x14ac:dyDescent="0.25"/>
  <cols>
    <col min="1" max="1" width="16.85546875" style="6"/>
    <col min="2" max="2" width="13.42578125" style="75" customWidth="1"/>
    <col min="3" max="3" width="13.5703125" style="6" customWidth="1"/>
    <col min="4" max="4" width="41.85546875" style="7" bestFit="1" customWidth="1"/>
    <col min="5" max="5" width="44.42578125" style="7" bestFit="1" customWidth="1"/>
    <col min="6" max="6" width="14.28515625" style="6" customWidth="1"/>
    <col min="7" max="8" width="14.7109375" style="6" customWidth="1"/>
    <col min="9" max="9" width="24.5703125" style="6" bestFit="1" customWidth="1"/>
    <col min="10" max="10" width="14.7109375" style="6" customWidth="1"/>
    <col min="11" max="11" width="28" style="6" bestFit="1" customWidth="1"/>
    <col min="12" max="12" width="27.140625" style="6" customWidth="1"/>
    <col min="13" max="16" width="25.7109375" style="6" bestFit="1" customWidth="1"/>
    <col min="17" max="17" width="15.28515625" style="6" customWidth="1"/>
    <col min="26" max="16384" width="16.85546875" style="6"/>
  </cols>
  <sheetData>
    <row r="1" spans="2:17" ht="15.75" thickBot="1" x14ac:dyDescent="0.3"/>
    <row r="2" spans="2:17" customFormat="1" ht="56.25" customHeight="1" thickBot="1" x14ac:dyDescent="0.3">
      <c r="B2" s="123" t="s">
        <v>408</v>
      </c>
      <c r="C2" s="124"/>
      <c r="D2" s="124"/>
      <c r="E2" s="124"/>
      <c r="F2" s="124"/>
      <c r="G2" s="124"/>
      <c r="H2" s="124"/>
      <c r="I2" s="124"/>
      <c r="J2" s="124"/>
      <c r="K2" s="124"/>
      <c r="L2" s="124"/>
      <c r="M2" s="124"/>
      <c r="N2" s="124"/>
      <c r="O2" s="124"/>
      <c r="P2" s="124"/>
      <c r="Q2" s="125"/>
    </row>
    <row r="3" spans="2:17" customFormat="1" ht="39" customHeight="1" x14ac:dyDescent="0.25">
      <c r="B3" s="135" t="s">
        <v>409</v>
      </c>
      <c r="C3" s="135"/>
      <c r="D3" s="135"/>
      <c r="E3" s="135"/>
      <c r="F3" s="135"/>
      <c r="G3" s="135"/>
      <c r="H3" s="135"/>
      <c r="I3" s="135"/>
      <c r="J3" s="135"/>
      <c r="K3" s="135"/>
      <c r="L3" s="135"/>
      <c r="M3" s="135"/>
      <c r="N3" s="135"/>
      <c r="O3" s="135"/>
      <c r="P3" s="135"/>
      <c r="Q3" s="135"/>
    </row>
    <row r="4" spans="2:17" customFormat="1" ht="28.5" customHeight="1" thickBot="1" x14ac:dyDescent="0.3">
      <c r="B4" s="126" t="s">
        <v>27</v>
      </c>
      <c r="C4" s="127"/>
      <c r="D4" s="127"/>
      <c r="E4" s="127"/>
      <c r="F4" s="127"/>
      <c r="G4" s="127"/>
      <c r="H4" s="127"/>
      <c r="I4" s="127"/>
      <c r="J4" s="127"/>
      <c r="K4" s="127"/>
      <c r="L4" s="127"/>
      <c r="M4" s="127"/>
      <c r="N4" s="127"/>
      <c r="O4" s="127"/>
      <c r="P4" s="127"/>
      <c r="Q4" s="128"/>
    </row>
    <row r="5" spans="2:17" s="4" customFormat="1" ht="36" customHeight="1" x14ac:dyDescent="0.25">
      <c r="B5" s="14" t="s">
        <v>120</v>
      </c>
      <c r="C5" s="76" t="s">
        <v>2</v>
      </c>
      <c r="D5" s="14" t="s">
        <v>5</v>
      </c>
      <c r="E5" s="82" t="s">
        <v>112</v>
      </c>
      <c r="F5" s="19" t="s">
        <v>95</v>
      </c>
      <c r="G5" s="19" t="s">
        <v>125</v>
      </c>
      <c r="H5" s="19" t="s">
        <v>96</v>
      </c>
      <c r="I5" s="19" t="s">
        <v>97</v>
      </c>
      <c r="J5" s="19" t="s">
        <v>98</v>
      </c>
      <c r="K5" s="19" t="s">
        <v>99</v>
      </c>
      <c r="L5" s="19" t="s">
        <v>100</v>
      </c>
      <c r="M5" s="19" t="s">
        <v>101</v>
      </c>
      <c r="N5" s="19" t="s">
        <v>102</v>
      </c>
      <c r="O5" s="19" t="s">
        <v>103</v>
      </c>
      <c r="P5" s="19" t="s">
        <v>104</v>
      </c>
      <c r="Q5" s="20" t="s">
        <v>105</v>
      </c>
    </row>
    <row r="6" spans="2:17" s="4" customFormat="1" ht="16.5" customHeight="1" x14ac:dyDescent="0.25">
      <c r="B6" s="52">
        <v>141</v>
      </c>
      <c r="C6" s="77" t="s">
        <v>212</v>
      </c>
      <c r="D6" s="47" t="s">
        <v>56</v>
      </c>
      <c r="E6" s="83" t="s">
        <v>377</v>
      </c>
      <c r="F6" s="55"/>
      <c r="G6" s="55"/>
      <c r="H6" s="55"/>
      <c r="I6" s="55"/>
      <c r="J6" s="55"/>
      <c r="K6" s="56"/>
      <c r="L6" s="86" t="s">
        <v>375</v>
      </c>
      <c r="M6" s="86"/>
      <c r="N6" s="86"/>
      <c r="O6" s="86"/>
      <c r="P6" s="86"/>
      <c r="Q6" s="55"/>
    </row>
    <row r="7" spans="2:17" s="4" customFormat="1" ht="16.5" customHeight="1" x14ac:dyDescent="0.25">
      <c r="B7" s="52">
        <v>176</v>
      </c>
      <c r="C7" s="78" t="s">
        <v>25</v>
      </c>
      <c r="D7" s="47" t="s">
        <v>56</v>
      </c>
      <c r="E7" s="84">
        <v>46176</v>
      </c>
      <c r="F7" s="55" t="str">
        <f t="shared" ref="F7:F22" si="0">IF(MONTH($E7)=1,"●","")</f>
        <v/>
      </c>
      <c r="G7" s="55" t="str">
        <f t="shared" ref="G7:G22" si="1">IF(MONTH($E7)=2,"●","")</f>
        <v/>
      </c>
      <c r="H7" s="55" t="str">
        <f t="shared" ref="H7:H22" si="2">IF(MONTH($E7)=3,"●","")</f>
        <v/>
      </c>
      <c r="I7" s="55" t="str">
        <f t="shared" ref="I7:I22" si="3">IF(MONTH($E7)=4,"●","")</f>
        <v/>
      </c>
      <c r="J7" s="55" t="s">
        <v>376</v>
      </c>
      <c r="K7" s="56" t="s">
        <v>375</v>
      </c>
      <c r="L7" s="86" t="s">
        <v>376</v>
      </c>
      <c r="M7" s="86" t="s">
        <v>376</v>
      </c>
      <c r="N7" s="86" t="s">
        <v>376</v>
      </c>
      <c r="O7" s="86" t="s">
        <v>376</v>
      </c>
      <c r="P7" s="86" t="s">
        <v>376</v>
      </c>
      <c r="Q7" s="57" t="str">
        <f t="shared" ref="Q7:Q22" si="4">IF(MONTH($E7)=12,"●","")</f>
        <v/>
      </c>
    </row>
    <row r="8" spans="2:17" s="4" customFormat="1" ht="16.5" customHeight="1" x14ac:dyDescent="0.25">
      <c r="B8" s="52">
        <v>169</v>
      </c>
      <c r="C8" s="78" t="s">
        <v>25</v>
      </c>
      <c r="D8" s="47" t="s">
        <v>83</v>
      </c>
      <c r="E8" s="84">
        <v>46245</v>
      </c>
      <c r="F8" s="55" t="str">
        <f t="shared" si="0"/>
        <v/>
      </c>
      <c r="G8" s="55" t="str">
        <f t="shared" si="1"/>
        <v/>
      </c>
      <c r="H8" s="55" t="str">
        <f t="shared" si="2"/>
        <v/>
      </c>
      <c r="I8" s="55" t="str">
        <f t="shared" si="3"/>
        <v/>
      </c>
      <c r="J8" s="55" t="s">
        <v>376</v>
      </c>
      <c r="K8" s="56" t="s">
        <v>376</v>
      </c>
      <c r="L8" s="86" t="s">
        <v>376</v>
      </c>
      <c r="M8" s="86" t="s">
        <v>375</v>
      </c>
      <c r="N8" s="86" t="s">
        <v>376</v>
      </c>
      <c r="O8" s="86" t="s">
        <v>376</v>
      </c>
      <c r="P8" s="86" t="s">
        <v>376</v>
      </c>
      <c r="Q8" s="57" t="str">
        <f t="shared" si="4"/>
        <v/>
      </c>
    </row>
    <row r="9" spans="2:17" s="4" customFormat="1" ht="16.5" customHeight="1" x14ac:dyDescent="0.25">
      <c r="B9" s="52">
        <v>168</v>
      </c>
      <c r="C9" s="78" t="s">
        <v>25</v>
      </c>
      <c r="D9" s="47" t="s">
        <v>52</v>
      </c>
      <c r="E9" s="84">
        <v>46239</v>
      </c>
      <c r="F9" s="55" t="str">
        <f t="shared" si="0"/>
        <v/>
      </c>
      <c r="G9" s="55" t="str">
        <f t="shared" si="1"/>
        <v/>
      </c>
      <c r="H9" s="55" t="str">
        <f t="shared" si="2"/>
        <v/>
      </c>
      <c r="I9" s="55" t="str">
        <f t="shared" si="3"/>
        <v/>
      </c>
      <c r="J9" s="55" t="s">
        <v>376</v>
      </c>
      <c r="K9" s="56" t="s">
        <v>376</v>
      </c>
      <c r="L9" s="86" t="s">
        <v>376</v>
      </c>
      <c r="M9" s="86" t="s">
        <v>375</v>
      </c>
      <c r="N9" s="86" t="s">
        <v>376</v>
      </c>
      <c r="O9" s="86" t="s">
        <v>376</v>
      </c>
      <c r="P9" s="86" t="s">
        <v>376</v>
      </c>
      <c r="Q9" s="57" t="str">
        <f t="shared" si="4"/>
        <v/>
      </c>
    </row>
    <row r="10" spans="2:17" s="4" customFormat="1" ht="16.5" customHeight="1" x14ac:dyDescent="0.25">
      <c r="B10" s="52">
        <v>145</v>
      </c>
      <c r="C10" s="78" t="s">
        <v>25</v>
      </c>
      <c r="D10" s="47" t="s">
        <v>45</v>
      </c>
      <c r="E10" s="84">
        <v>46238</v>
      </c>
      <c r="F10" s="55" t="str">
        <f t="shared" si="0"/>
        <v/>
      </c>
      <c r="G10" s="55" t="str">
        <f t="shared" si="1"/>
        <v/>
      </c>
      <c r="H10" s="55" t="str">
        <f t="shared" si="2"/>
        <v/>
      </c>
      <c r="I10" s="55" t="str">
        <f t="shared" si="3"/>
        <v/>
      </c>
      <c r="J10" s="55" t="s">
        <v>376</v>
      </c>
      <c r="K10" s="56" t="s">
        <v>376</v>
      </c>
      <c r="L10" s="86" t="s">
        <v>376</v>
      </c>
      <c r="M10" s="86" t="s">
        <v>375</v>
      </c>
      <c r="N10" s="86" t="s">
        <v>376</v>
      </c>
      <c r="O10" s="86" t="s">
        <v>376</v>
      </c>
      <c r="P10" s="86" t="s">
        <v>376</v>
      </c>
      <c r="Q10" s="57" t="str">
        <f t="shared" si="4"/>
        <v/>
      </c>
    </row>
    <row r="11" spans="2:17" s="4" customFormat="1" ht="16.5" customHeight="1" x14ac:dyDescent="0.25">
      <c r="B11" s="52">
        <v>117</v>
      </c>
      <c r="C11" s="78" t="s">
        <v>25</v>
      </c>
      <c r="D11" s="47" t="s">
        <v>38</v>
      </c>
      <c r="E11" s="84">
        <v>46188</v>
      </c>
      <c r="F11" s="55" t="str">
        <f t="shared" si="0"/>
        <v/>
      </c>
      <c r="G11" s="55" t="str">
        <f t="shared" si="1"/>
        <v/>
      </c>
      <c r="H11" s="55" t="str">
        <f t="shared" si="2"/>
        <v/>
      </c>
      <c r="I11" s="55" t="str">
        <f t="shared" si="3"/>
        <v/>
      </c>
      <c r="J11" s="55" t="s">
        <v>376</v>
      </c>
      <c r="K11" s="56" t="s">
        <v>375</v>
      </c>
      <c r="L11" s="86" t="s">
        <v>376</v>
      </c>
      <c r="M11" s="86" t="s">
        <v>376</v>
      </c>
      <c r="N11" s="86" t="s">
        <v>376</v>
      </c>
      <c r="O11" s="86" t="s">
        <v>376</v>
      </c>
      <c r="P11" s="86" t="s">
        <v>376</v>
      </c>
      <c r="Q11" s="57" t="str">
        <f t="shared" si="4"/>
        <v/>
      </c>
    </row>
    <row r="12" spans="2:17" s="4" customFormat="1" ht="16.5" customHeight="1" x14ac:dyDescent="0.25">
      <c r="B12" s="52">
        <v>180</v>
      </c>
      <c r="C12" s="78" t="s">
        <v>15</v>
      </c>
      <c r="D12" s="47" t="s">
        <v>63</v>
      </c>
      <c r="E12" s="84">
        <v>46265</v>
      </c>
      <c r="F12" s="55" t="str">
        <f t="shared" si="0"/>
        <v/>
      </c>
      <c r="G12" s="55" t="str">
        <f t="shared" si="1"/>
        <v/>
      </c>
      <c r="H12" s="55" t="str">
        <f t="shared" si="2"/>
        <v/>
      </c>
      <c r="I12" s="55" t="str">
        <f t="shared" si="3"/>
        <v/>
      </c>
      <c r="J12" s="55" t="s">
        <v>376</v>
      </c>
      <c r="K12" s="56" t="s">
        <v>376</v>
      </c>
      <c r="L12" s="86" t="s">
        <v>376</v>
      </c>
      <c r="M12" s="86" t="s">
        <v>375</v>
      </c>
      <c r="N12" s="86" t="s">
        <v>376</v>
      </c>
      <c r="O12" s="86" t="s">
        <v>376</v>
      </c>
      <c r="P12" s="86" t="s">
        <v>376</v>
      </c>
      <c r="Q12" s="57" t="str">
        <f t="shared" si="4"/>
        <v/>
      </c>
    </row>
    <row r="13" spans="2:17" s="4" customFormat="1" ht="16.5" customHeight="1" x14ac:dyDescent="0.25">
      <c r="B13" s="52">
        <v>179</v>
      </c>
      <c r="C13" s="78" t="s">
        <v>15</v>
      </c>
      <c r="D13" s="47" t="s">
        <v>63</v>
      </c>
      <c r="E13" s="84">
        <v>46300</v>
      </c>
      <c r="F13" s="55" t="str">
        <f t="shared" si="0"/>
        <v/>
      </c>
      <c r="G13" s="55" t="str">
        <f t="shared" si="1"/>
        <v/>
      </c>
      <c r="H13" s="55" t="str">
        <f t="shared" si="2"/>
        <v/>
      </c>
      <c r="I13" s="55" t="str">
        <f t="shared" si="3"/>
        <v/>
      </c>
      <c r="J13" s="55" t="s">
        <v>376</v>
      </c>
      <c r="K13" s="56" t="s">
        <v>376</v>
      </c>
      <c r="L13" s="86" t="s">
        <v>376</v>
      </c>
      <c r="M13" s="86" t="s">
        <v>376</v>
      </c>
      <c r="N13" s="86" t="s">
        <v>376</v>
      </c>
      <c r="O13" s="86" t="s">
        <v>375</v>
      </c>
      <c r="P13" s="86" t="s">
        <v>376</v>
      </c>
      <c r="Q13" s="57" t="str">
        <f t="shared" si="4"/>
        <v/>
      </c>
    </row>
    <row r="14" spans="2:17" s="4" customFormat="1" ht="16.5" customHeight="1" x14ac:dyDescent="0.25">
      <c r="B14" s="52">
        <v>177</v>
      </c>
      <c r="C14" s="78" t="s">
        <v>15</v>
      </c>
      <c r="D14" s="47" t="s">
        <v>52</v>
      </c>
      <c r="E14" s="84">
        <v>46295</v>
      </c>
      <c r="F14" s="55" t="str">
        <f t="shared" si="0"/>
        <v/>
      </c>
      <c r="G14" s="55" t="str">
        <f t="shared" si="1"/>
        <v/>
      </c>
      <c r="H14" s="55" t="str">
        <f t="shared" si="2"/>
        <v/>
      </c>
      <c r="I14" s="55" t="str">
        <f t="shared" si="3"/>
        <v/>
      </c>
      <c r="J14" s="55" t="s">
        <v>376</v>
      </c>
      <c r="K14" s="56" t="s">
        <v>376</v>
      </c>
      <c r="L14" s="86" t="s">
        <v>376</v>
      </c>
      <c r="M14" s="86" t="s">
        <v>376</v>
      </c>
      <c r="N14" s="86" t="s">
        <v>375</v>
      </c>
      <c r="O14" s="86" t="s">
        <v>376</v>
      </c>
      <c r="P14" s="86" t="s">
        <v>376</v>
      </c>
      <c r="Q14" s="57" t="str">
        <f t="shared" si="4"/>
        <v/>
      </c>
    </row>
    <row r="15" spans="2:17" s="4" customFormat="1" ht="16.5" customHeight="1" x14ac:dyDescent="0.25">
      <c r="B15" s="52">
        <v>167</v>
      </c>
      <c r="C15" s="78" t="s">
        <v>15</v>
      </c>
      <c r="D15" s="47" t="s">
        <v>81</v>
      </c>
      <c r="E15" s="84">
        <v>46356</v>
      </c>
      <c r="F15" s="55" t="str">
        <f t="shared" si="0"/>
        <v/>
      </c>
      <c r="G15" s="55" t="str">
        <f t="shared" si="1"/>
        <v/>
      </c>
      <c r="H15" s="55" t="str">
        <f t="shared" si="2"/>
        <v/>
      </c>
      <c r="I15" s="55" t="str">
        <f t="shared" si="3"/>
        <v/>
      </c>
      <c r="J15" s="55" t="s">
        <v>376</v>
      </c>
      <c r="K15" s="56" t="s">
        <v>376</v>
      </c>
      <c r="L15" s="86" t="s">
        <v>376</v>
      </c>
      <c r="M15" s="86" t="s">
        <v>376</v>
      </c>
      <c r="N15" s="86" t="s">
        <v>376</v>
      </c>
      <c r="O15" s="86" t="s">
        <v>376</v>
      </c>
      <c r="P15" s="86" t="s">
        <v>375</v>
      </c>
      <c r="Q15" s="55" t="str">
        <f t="shared" si="4"/>
        <v/>
      </c>
    </row>
    <row r="16" spans="2:17" s="4" customFormat="1" ht="16.5" customHeight="1" x14ac:dyDescent="0.25">
      <c r="B16" s="52">
        <v>164</v>
      </c>
      <c r="C16" s="78" t="s">
        <v>15</v>
      </c>
      <c r="D16" s="47" t="s">
        <v>28</v>
      </c>
      <c r="E16" s="83">
        <v>46259</v>
      </c>
      <c r="F16" s="55" t="str">
        <f t="shared" si="0"/>
        <v/>
      </c>
      <c r="G16" s="55" t="str">
        <f t="shared" si="1"/>
        <v/>
      </c>
      <c r="H16" s="55" t="str">
        <f t="shared" si="2"/>
        <v/>
      </c>
      <c r="I16" s="55" t="str">
        <f t="shared" si="3"/>
        <v/>
      </c>
      <c r="J16" s="55" t="s">
        <v>376</v>
      </c>
      <c r="K16" s="55" t="s">
        <v>376</v>
      </c>
      <c r="L16" s="86" t="s">
        <v>376</v>
      </c>
      <c r="M16" s="86" t="s">
        <v>375</v>
      </c>
      <c r="N16" s="86" t="s">
        <v>376</v>
      </c>
      <c r="O16" s="86" t="s">
        <v>376</v>
      </c>
      <c r="P16" s="86" t="s">
        <v>376</v>
      </c>
      <c r="Q16" s="57" t="str">
        <f t="shared" si="4"/>
        <v/>
      </c>
    </row>
    <row r="17" spans="2:17" s="4" customFormat="1" ht="16.5" customHeight="1" x14ac:dyDescent="0.25">
      <c r="B17" s="52">
        <v>135</v>
      </c>
      <c r="C17" s="78" t="s">
        <v>15</v>
      </c>
      <c r="D17" s="47" t="s">
        <v>46</v>
      </c>
      <c r="E17" s="83">
        <v>46295</v>
      </c>
      <c r="F17" s="55" t="str">
        <f t="shared" si="0"/>
        <v/>
      </c>
      <c r="G17" s="55" t="str">
        <f t="shared" si="1"/>
        <v/>
      </c>
      <c r="H17" s="55" t="str">
        <f t="shared" si="2"/>
        <v/>
      </c>
      <c r="I17" s="55" t="str">
        <f t="shared" si="3"/>
        <v/>
      </c>
      <c r="J17" s="55" t="s">
        <v>376</v>
      </c>
      <c r="K17" s="55" t="s">
        <v>376</v>
      </c>
      <c r="L17" s="86" t="s">
        <v>376</v>
      </c>
      <c r="M17" s="86" t="s">
        <v>376</v>
      </c>
      <c r="N17" s="86" t="s">
        <v>375</v>
      </c>
      <c r="O17" s="86" t="s">
        <v>376</v>
      </c>
      <c r="P17" s="86" t="s">
        <v>376</v>
      </c>
      <c r="Q17" s="57" t="str">
        <f t="shared" si="4"/>
        <v/>
      </c>
    </row>
    <row r="18" spans="2:17" s="4" customFormat="1" ht="16.5" customHeight="1" x14ac:dyDescent="0.25">
      <c r="B18" s="52">
        <v>134</v>
      </c>
      <c r="C18" s="78" t="s">
        <v>15</v>
      </c>
      <c r="D18" s="47" t="s">
        <v>52</v>
      </c>
      <c r="E18" s="84">
        <v>46203</v>
      </c>
      <c r="F18" s="55" t="str">
        <f t="shared" si="0"/>
        <v/>
      </c>
      <c r="G18" s="55" t="str">
        <f t="shared" si="1"/>
        <v/>
      </c>
      <c r="H18" s="55" t="str">
        <f t="shared" si="2"/>
        <v/>
      </c>
      <c r="I18" s="55" t="str">
        <f t="shared" si="3"/>
        <v/>
      </c>
      <c r="J18" s="55" t="s">
        <v>376</v>
      </c>
      <c r="K18" s="54" t="s">
        <v>375</v>
      </c>
      <c r="L18" s="86" t="s">
        <v>376</v>
      </c>
      <c r="M18" s="86" t="s">
        <v>376</v>
      </c>
      <c r="N18" s="86" t="s">
        <v>376</v>
      </c>
      <c r="O18" s="86" t="s">
        <v>376</v>
      </c>
      <c r="P18" s="86" t="s">
        <v>376</v>
      </c>
      <c r="Q18" s="57" t="str">
        <f t="shared" si="4"/>
        <v/>
      </c>
    </row>
    <row r="19" spans="2:17" s="4" customFormat="1" ht="16.5" customHeight="1" x14ac:dyDescent="0.25">
      <c r="B19" s="52">
        <v>130</v>
      </c>
      <c r="C19" s="78" t="s">
        <v>39</v>
      </c>
      <c r="D19" s="47" t="s">
        <v>46</v>
      </c>
      <c r="E19" s="84">
        <v>46355</v>
      </c>
      <c r="F19" s="55" t="str">
        <f t="shared" si="0"/>
        <v/>
      </c>
      <c r="G19" s="55" t="str">
        <f t="shared" si="1"/>
        <v/>
      </c>
      <c r="H19" s="55" t="str">
        <f t="shared" si="2"/>
        <v/>
      </c>
      <c r="I19" s="55" t="str">
        <f t="shared" si="3"/>
        <v/>
      </c>
      <c r="J19" s="55" t="s">
        <v>376</v>
      </c>
      <c r="K19" s="56" t="s">
        <v>376</v>
      </c>
      <c r="L19" s="86" t="s">
        <v>376</v>
      </c>
      <c r="M19" s="86" t="s">
        <v>376</v>
      </c>
      <c r="N19" s="86" t="s">
        <v>376</v>
      </c>
      <c r="O19" s="86" t="s">
        <v>376</v>
      </c>
      <c r="P19" s="86" t="s">
        <v>375</v>
      </c>
      <c r="Q19" s="57" t="str">
        <f t="shared" si="4"/>
        <v/>
      </c>
    </row>
    <row r="20" spans="2:17" s="4" customFormat="1" ht="16.5" customHeight="1" x14ac:dyDescent="0.25">
      <c r="B20" s="52">
        <v>129</v>
      </c>
      <c r="C20" s="78" t="s">
        <v>15</v>
      </c>
      <c r="D20" s="47" t="s">
        <v>46</v>
      </c>
      <c r="E20" s="84">
        <v>46280</v>
      </c>
      <c r="F20" s="55" t="str">
        <f t="shared" si="0"/>
        <v/>
      </c>
      <c r="G20" s="55" t="str">
        <f t="shared" si="1"/>
        <v/>
      </c>
      <c r="H20" s="55" t="str">
        <f t="shared" si="2"/>
        <v/>
      </c>
      <c r="I20" s="55" t="str">
        <f t="shared" si="3"/>
        <v/>
      </c>
      <c r="J20" s="55" t="s">
        <v>376</v>
      </c>
      <c r="K20" s="56" t="s">
        <v>376</v>
      </c>
      <c r="L20" s="86" t="s">
        <v>376</v>
      </c>
      <c r="M20" s="86" t="s">
        <v>376</v>
      </c>
      <c r="N20" s="86" t="s">
        <v>375</v>
      </c>
      <c r="O20" s="86" t="s">
        <v>376</v>
      </c>
      <c r="P20" s="86" t="s">
        <v>376</v>
      </c>
      <c r="Q20" s="57" t="str">
        <f t="shared" si="4"/>
        <v/>
      </c>
    </row>
    <row r="21" spans="2:17" s="4" customFormat="1" ht="16.5" customHeight="1" x14ac:dyDescent="0.25">
      <c r="B21" s="52">
        <v>138</v>
      </c>
      <c r="C21" s="78" t="s">
        <v>39</v>
      </c>
      <c r="D21" s="47" t="s">
        <v>61</v>
      </c>
      <c r="E21" s="84">
        <v>46356</v>
      </c>
      <c r="F21" s="55" t="str">
        <f t="shared" si="0"/>
        <v/>
      </c>
      <c r="G21" s="55" t="str">
        <f t="shared" si="1"/>
        <v/>
      </c>
      <c r="H21" s="55" t="str">
        <f t="shared" si="2"/>
        <v/>
      </c>
      <c r="I21" s="55" t="str">
        <f t="shared" si="3"/>
        <v/>
      </c>
      <c r="J21" s="55" t="s">
        <v>376</v>
      </c>
      <c r="K21" s="56" t="s">
        <v>376</v>
      </c>
      <c r="L21" s="86" t="s">
        <v>376</v>
      </c>
      <c r="M21" s="86" t="s">
        <v>376</v>
      </c>
      <c r="N21" s="86" t="s">
        <v>376</v>
      </c>
      <c r="O21" s="86" t="s">
        <v>376</v>
      </c>
      <c r="P21" s="86" t="s">
        <v>375</v>
      </c>
      <c r="Q21" s="57" t="str">
        <f t="shared" si="4"/>
        <v/>
      </c>
    </row>
    <row r="22" spans="2:17" s="4" customFormat="1" ht="16.5" customHeight="1" x14ac:dyDescent="0.25">
      <c r="B22" s="52">
        <v>136</v>
      </c>
      <c r="C22" s="78" t="s">
        <v>39</v>
      </c>
      <c r="D22" s="47" t="s">
        <v>56</v>
      </c>
      <c r="E22" s="84">
        <v>46324</v>
      </c>
      <c r="F22" s="55" t="str">
        <f t="shared" si="0"/>
        <v/>
      </c>
      <c r="G22" s="55" t="str">
        <f t="shared" si="1"/>
        <v/>
      </c>
      <c r="H22" s="55" t="str">
        <f t="shared" si="2"/>
        <v/>
      </c>
      <c r="I22" s="55" t="str">
        <f t="shared" si="3"/>
        <v/>
      </c>
      <c r="J22" s="55" t="s">
        <v>376</v>
      </c>
      <c r="K22" s="56" t="s">
        <v>376</v>
      </c>
      <c r="L22" s="86" t="s">
        <v>376</v>
      </c>
      <c r="M22" s="86" t="s">
        <v>376</v>
      </c>
      <c r="N22" s="86" t="s">
        <v>376</v>
      </c>
      <c r="O22" s="86" t="s">
        <v>375</v>
      </c>
      <c r="P22" s="86" t="s">
        <v>376</v>
      </c>
      <c r="Q22" s="57" t="str">
        <f t="shared" si="4"/>
        <v/>
      </c>
    </row>
    <row r="23" spans="2:17" s="4" customFormat="1" ht="16.5" customHeight="1" x14ac:dyDescent="0.25">
      <c r="B23" s="52">
        <v>120</v>
      </c>
      <c r="C23" s="78" t="s">
        <v>39</v>
      </c>
      <c r="D23" s="47" t="s">
        <v>28</v>
      </c>
      <c r="E23" s="83" t="s">
        <v>410</v>
      </c>
      <c r="F23" s="55"/>
      <c r="G23" s="55"/>
      <c r="H23" s="55"/>
      <c r="I23" s="55"/>
      <c r="J23" s="55"/>
      <c r="K23" s="56"/>
      <c r="L23" s="86"/>
      <c r="M23" s="86"/>
      <c r="N23" s="86"/>
      <c r="O23" s="86"/>
      <c r="P23" s="86"/>
      <c r="Q23" s="57"/>
    </row>
    <row r="24" spans="2:17" s="4" customFormat="1" ht="16.5" customHeight="1" x14ac:dyDescent="0.25">
      <c r="B24" s="52">
        <v>122</v>
      </c>
      <c r="C24" s="78" t="s">
        <v>15</v>
      </c>
      <c r="D24" s="47" t="s">
        <v>43</v>
      </c>
      <c r="E24" s="83" t="s">
        <v>410</v>
      </c>
      <c r="F24" s="55"/>
      <c r="G24" s="55"/>
      <c r="H24" s="55"/>
      <c r="I24" s="55"/>
      <c r="J24" s="55"/>
      <c r="K24" s="56"/>
      <c r="L24" s="86"/>
      <c r="M24" s="86"/>
      <c r="N24" s="86"/>
      <c r="O24" s="86"/>
      <c r="P24" s="86"/>
      <c r="Q24" s="57"/>
    </row>
    <row r="25" spans="2:17" s="4" customFormat="1" ht="16.5" customHeight="1" x14ac:dyDescent="0.25">
      <c r="B25" s="52">
        <v>154</v>
      </c>
      <c r="C25" s="78" t="s">
        <v>15</v>
      </c>
      <c r="D25" s="47" t="s">
        <v>28</v>
      </c>
      <c r="E25" s="83" t="s">
        <v>410</v>
      </c>
      <c r="F25" s="55"/>
      <c r="G25" s="55"/>
      <c r="H25" s="55"/>
      <c r="I25" s="55"/>
      <c r="J25" s="55"/>
      <c r="K25" s="56"/>
      <c r="L25" s="86"/>
      <c r="M25" s="86"/>
      <c r="N25" s="86"/>
      <c r="O25" s="86"/>
      <c r="P25" s="86"/>
      <c r="Q25" s="57"/>
    </row>
    <row r="26" spans="2:17" s="4" customFormat="1" ht="16.5" customHeight="1" x14ac:dyDescent="0.25">
      <c r="B26" s="52">
        <v>190</v>
      </c>
      <c r="C26" s="78" t="s">
        <v>15</v>
      </c>
      <c r="D26" s="47" t="s">
        <v>56</v>
      </c>
      <c r="E26" s="83" t="s">
        <v>410</v>
      </c>
      <c r="F26" s="55"/>
      <c r="G26" s="55"/>
      <c r="H26" s="55"/>
      <c r="I26" s="55"/>
      <c r="J26" s="55"/>
      <c r="K26" s="56"/>
      <c r="L26" s="86"/>
      <c r="M26" s="86"/>
      <c r="N26" s="86"/>
      <c r="O26" s="86"/>
      <c r="P26" s="86"/>
      <c r="Q26" s="57"/>
    </row>
    <row r="27" spans="2:17" s="4" customFormat="1" ht="16.5" customHeight="1" x14ac:dyDescent="0.25">
      <c r="B27" s="52">
        <v>189</v>
      </c>
      <c r="C27" s="78" t="s">
        <v>15</v>
      </c>
      <c r="D27" s="47" t="s">
        <v>45</v>
      </c>
      <c r="E27" s="83" t="s">
        <v>410</v>
      </c>
      <c r="F27" s="55"/>
      <c r="G27" s="55"/>
      <c r="H27" s="55"/>
      <c r="I27" s="55"/>
      <c r="J27" s="55"/>
      <c r="K27" s="56"/>
      <c r="L27" s="86"/>
      <c r="M27" s="86"/>
      <c r="N27" s="86"/>
      <c r="O27" s="86"/>
      <c r="P27" s="86"/>
      <c r="Q27" s="55"/>
    </row>
    <row r="28" spans="2:17" s="4" customFormat="1" ht="16.5" customHeight="1" x14ac:dyDescent="0.25">
      <c r="B28" s="53">
        <v>187</v>
      </c>
      <c r="C28" s="79" t="s">
        <v>15</v>
      </c>
      <c r="D28" s="47" t="s">
        <v>61</v>
      </c>
      <c r="E28" s="83" t="s">
        <v>410</v>
      </c>
      <c r="F28" s="55"/>
      <c r="G28" s="55"/>
      <c r="H28" s="55"/>
      <c r="I28" s="55"/>
      <c r="J28" s="55"/>
      <c r="K28" s="55"/>
      <c r="L28" s="55"/>
      <c r="M28" s="55"/>
      <c r="N28" s="55"/>
      <c r="O28" s="55"/>
      <c r="P28" s="55"/>
      <c r="Q28" s="57"/>
    </row>
    <row r="29" spans="2:17" customFormat="1" ht="27" customHeight="1" thickBot="1" x14ac:dyDescent="0.3">
      <c r="B29" s="129" t="s">
        <v>17</v>
      </c>
      <c r="C29" s="130"/>
      <c r="D29" s="130"/>
      <c r="E29" s="130"/>
      <c r="F29" s="130"/>
      <c r="G29" s="130"/>
      <c r="H29" s="130"/>
      <c r="I29" s="130"/>
      <c r="J29" s="130"/>
      <c r="K29" s="130"/>
      <c r="L29" s="130"/>
      <c r="M29" s="130"/>
      <c r="N29" s="130"/>
      <c r="O29" s="130"/>
      <c r="P29" s="130"/>
      <c r="Q29" s="131"/>
    </row>
    <row r="30" spans="2:17" customFormat="1" ht="46.5" customHeight="1" x14ac:dyDescent="0.25">
      <c r="B30" s="14" t="s">
        <v>120</v>
      </c>
      <c r="C30" s="76" t="s">
        <v>2</v>
      </c>
      <c r="D30" s="14" t="s">
        <v>5</v>
      </c>
      <c r="E30" s="82" t="s">
        <v>112</v>
      </c>
      <c r="F30" s="19" t="s">
        <v>95</v>
      </c>
      <c r="G30" s="19" t="s">
        <v>125</v>
      </c>
      <c r="H30" s="19" t="s">
        <v>96</v>
      </c>
      <c r="I30" s="19" t="s">
        <v>97</v>
      </c>
      <c r="J30" s="19" t="s">
        <v>98</v>
      </c>
      <c r="K30" s="19" t="s">
        <v>99</v>
      </c>
      <c r="L30" s="19" t="s">
        <v>100</v>
      </c>
      <c r="M30" s="19" t="s">
        <v>101</v>
      </c>
      <c r="N30" s="19" t="s">
        <v>102</v>
      </c>
      <c r="O30" s="19" t="s">
        <v>103</v>
      </c>
      <c r="P30" s="19" t="s">
        <v>104</v>
      </c>
      <c r="Q30" s="20" t="s">
        <v>105</v>
      </c>
    </row>
    <row r="31" spans="2:17" s="4" customFormat="1" ht="16.5" customHeight="1" x14ac:dyDescent="0.25">
      <c r="B31" s="31">
        <v>182</v>
      </c>
      <c r="C31" s="80" t="s">
        <v>15</v>
      </c>
      <c r="D31" s="47" t="s">
        <v>20</v>
      </c>
      <c r="E31" s="84">
        <v>46182</v>
      </c>
      <c r="F31" s="55" t="str">
        <f t="shared" ref="F31:F40" si="5">IF(MONTH($E31)=1,"●","")</f>
        <v/>
      </c>
      <c r="G31" s="55" t="str">
        <f t="shared" ref="G31:G40" si="6">IF(MONTH($E31)=2,"●","")</f>
        <v/>
      </c>
      <c r="H31" s="55" t="str">
        <f t="shared" ref="H31:H40" si="7">IF(MONTH($E31)=3,"●","")</f>
        <v/>
      </c>
      <c r="I31" s="55" t="str">
        <f t="shared" ref="I31:I40" si="8">IF(MONTH($E31)=4,"●","")</f>
        <v/>
      </c>
      <c r="J31" s="55" t="str">
        <f t="shared" ref="J31:J40" si="9">IF(MONTH($E31)=5,"●","")</f>
        <v/>
      </c>
      <c r="K31" s="56" t="s">
        <v>375</v>
      </c>
      <c r="L31" s="55" t="str">
        <f t="shared" ref="L31:L39" si="10">IF(MONTH($E31)=7,"●","")</f>
        <v/>
      </c>
      <c r="M31" s="55" t="str">
        <f t="shared" ref="M31:M40" si="11">IF(MONTH($E31)=8,"●","")</f>
        <v/>
      </c>
      <c r="N31" s="55" t="str">
        <f t="shared" ref="N31:N40" si="12">IF(MONTH($E31)=9,"●","")</f>
        <v/>
      </c>
      <c r="O31" s="55" t="str">
        <f t="shared" ref="O31:O40" si="13">IF(MONTH($E31)=10,"●","")</f>
        <v/>
      </c>
      <c r="P31" s="55" t="str">
        <f t="shared" ref="P31:P40" si="14">IF(MONTH($E31)=11,"●","")</f>
        <v/>
      </c>
      <c r="Q31" s="57" t="str">
        <f t="shared" ref="Q31:Q40" si="15">IF(MONTH($E31)=12,"●","")</f>
        <v/>
      </c>
    </row>
    <row r="32" spans="2:17" s="4" customFormat="1" ht="16.5" customHeight="1" x14ac:dyDescent="0.25">
      <c r="B32" s="31">
        <v>150</v>
      </c>
      <c r="C32" s="80" t="s">
        <v>15</v>
      </c>
      <c r="D32" s="47" t="s">
        <v>43</v>
      </c>
      <c r="E32" s="84">
        <v>46192</v>
      </c>
      <c r="F32" s="55" t="str">
        <f t="shared" si="5"/>
        <v/>
      </c>
      <c r="G32" s="55" t="str">
        <f t="shared" si="6"/>
        <v/>
      </c>
      <c r="H32" s="55" t="str">
        <f t="shared" si="7"/>
        <v/>
      </c>
      <c r="I32" s="55" t="str">
        <f t="shared" si="8"/>
        <v/>
      </c>
      <c r="J32" s="55" t="str">
        <f t="shared" si="9"/>
        <v/>
      </c>
      <c r="K32" s="56" t="s">
        <v>375</v>
      </c>
      <c r="L32" s="55" t="str">
        <f t="shared" si="10"/>
        <v/>
      </c>
      <c r="M32" s="55" t="str">
        <f t="shared" si="11"/>
        <v/>
      </c>
      <c r="N32" s="55" t="str">
        <f t="shared" si="12"/>
        <v/>
      </c>
      <c r="O32" s="55" t="str">
        <f t="shared" si="13"/>
        <v/>
      </c>
      <c r="P32" s="55" t="str">
        <f t="shared" si="14"/>
        <v/>
      </c>
      <c r="Q32" s="57" t="str">
        <f t="shared" si="15"/>
        <v/>
      </c>
    </row>
    <row r="33" spans="2:17" s="4" customFormat="1" ht="16.5" customHeight="1" x14ac:dyDescent="0.25">
      <c r="B33" s="31">
        <v>148</v>
      </c>
      <c r="C33" s="80" t="s">
        <v>15</v>
      </c>
      <c r="D33" s="47" t="s">
        <v>20</v>
      </c>
      <c r="E33" s="84">
        <v>46184</v>
      </c>
      <c r="F33" s="55" t="str">
        <f t="shared" si="5"/>
        <v/>
      </c>
      <c r="G33" s="55" t="str">
        <f t="shared" si="6"/>
        <v/>
      </c>
      <c r="H33" s="55" t="str">
        <f t="shared" si="7"/>
        <v/>
      </c>
      <c r="I33" s="55" t="str">
        <f t="shared" si="8"/>
        <v/>
      </c>
      <c r="J33" s="55" t="str">
        <f t="shared" si="9"/>
        <v/>
      </c>
      <c r="K33" s="56" t="s">
        <v>375</v>
      </c>
      <c r="L33" s="55" t="str">
        <f t="shared" si="10"/>
        <v/>
      </c>
      <c r="M33" s="55" t="str">
        <f t="shared" si="11"/>
        <v/>
      </c>
      <c r="N33" s="55" t="str">
        <f t="shared" si="12"/>
        <v/>
      </c>
      <c r="O33" s="55" t="str">
        <f t="shared" si="13"/>
        <v/>
      </c>
      <c r="P33" s="55" t="str">
        <f t="shared" si="14"/>
        <v/>
      </c>
      <c r="Q33" s="57" t="str">
        <f t="shared" si="15"/>
        <v/>
      </c>
    </row>
    <row r="34" spans="2:17" s="4" customFormat="1" ht="16.5" customHeight="1" x14ac:dyDescent="0.25">
      <c r="B34" s="31">
        <v>139</v>
      </c>
      <c r="C34" s="80" t="s">
        <v>15</v>
      </c>
      <c r="D34" s="47" t="s">
        <v>62</v>
      </c>
      <c r="E34" s="84">
        <v>46184</v>
      </c>
      <c r="F34" s="55" t="str">
        <f t="shared" si="5"/>
        <v/>
      </c>
      <c r="G34" s="55" t="str">
        <f t="shared" si="6"/>
        <v/>
      </c>
      <c r="H34" s="55" t="str">
        <f t="shared" si="7"/>
        <v/>
      </c>
      <c r="I34" s="55" t="str">
        <f t="shared" si="8"/>
        <v/>
      </c>
      <c r="J34" s="55" t="str">
        <f t="shared" si="9"/>
        <v/>
      </c>
      <c r="K34" s="56" t="s">
        <v>375</v>
      </c>
      <c r="L34" s="55" t="str">
        <f t="shared" si="10"/>
        <v/>
      </c>
      <c r="M34" s="55" t="str">
        <f t="shared" si="11"/>
        <v/>
      </c>
      <c r="N34" s="55" t="str">
        <f t="shared" si="12"/>
        <v/>
      </c>
      <c r="O34" s="55" t="str">
        <f t="shared" si="13"/>
        <v/>
      </c>
      <c r="P34" s="55" t="str">
        <f t="shared" si="14"/>
        <v/>
      </c>
      <c r="Q34" s="57" t="str">
        <f t="shared" si="15"/>
        <v/>
      </c>
    </row>
    <row r="35" spans="2:17" s="4" customFormat="1" ht="16.5" customHeight="1" x14ac:dyDescent="0.25">
      <c r="B35" s="31">
        <v>137</v>
      </c>
      <c r="C35" s="80" t="s">
        <v>15</v>
      </c>
      <c r="D35" s="47" t="s">
        <v>56</v>
      </c>
      <c r="E35" s="84">
        <v>46182</v>
      </c>
      <c r="F35" s="55" t="str">
        <f t="shared" si="5"/>
        <v/>
      </c>
      <c r="G35" s="55" t="str">
        <f t="shared" si="6"/>
        <v/>
      </c>
      <c r="H35" s="55" t="str">
        <f t="shared" si="7"/>
        <v/>
      </c>
      <c r="I35" s="55" t="str">
        <f t="shared" si="8"/>
        <v/>
      </c>
      <c r="J35" s="55" t="str">
        <f t="shared" si="9"/>
        <v/>
      </c>
      <c r="K35" s="56" t="s">
        <v>375</v>
      </c>
      <c r="L35" s="55" t="str">
        <f t="shared" si="10"/>
        <v/>
      </c>
      <c r="M35" s="55" t="str">
        <f t="shared" si="11"/>
        <v/>
      </c>
      <c r="N35" s="55" t="str">
        <f t="shared" si="12"/>
        <v/>
      </c>
      <c r="O35" s="55" t="str">
        <f t="shared" si="13"/>
        <v/>
      </c>
      <c r="P35" s="55" t="str">
        <f t="shared" si="14"/>
        <v/>
      </c>
      <c r="Q35" s="57" t="str">
        <f t="shared" si="15"/>
        <v/>
      </c>
    </row>
    <row r="36" spans="2:17" s="4" customFormat="1" ht="16.5" customHeight="1" x14ac:dyDescent="0.25">
      <c r="B36" s="31">
        <v>132</v>
      </c>
      <c r="C36" s="80" t="s">
        <v>15</v>
      </c>
      <c r="D36" s="47" t="s">
        <v>20</v>
      </c>
      <c r="E36" s="84">
        <v>46182</v>
      </c>
      <c r="F36" s="55" t="str">
        <f t="shared" si="5"/>
        <v/>
      </c>
      <c r="G36" s="55" t="str">
        <f t="shared" si="6"/>
        <v/>
      </c>
      <c r="H36" s="55" t="str">
        <f t="shared" si="7"/>
        <v/>
      </c>
      <c r="I36" s="55" t="str">
        <f t="shared" si="8"/>
        <v/>
      </c>
      <c r="J36" s="55" t="str">
        <f t="shared" si="9"/>
        <v/>
      </c>
      <c r="K36" s="56" t="s">
        <v>375</v>
      </c>
      <c r="L36" s="55" t="str">
        <f t="shared" si="10"/>
        <v/>
      </c>
      <c r="M36" s="55" t="str">
        <f t="shared" si="11"/>
        <v/>
      </c>
      <c r="N36" s="55" t="str">
        <f t="shared" si="12"/>
        <v/>
      </c>
      <c r="O36" s="55" t="str">
        <f t="shared" si="13"/>
        <v/>
      </c>
      <c r="P36" s="55" t="str">
        <f t="shared" si="14"/>
        <v/>
      </c>
      <c r="Q36" s="57" t="str">
        <f t="shared" si="15"/>
        <v/>
      </c>
    </row>
    <row r="37" spans="2:17" s="4" customFormat="1" ht="16.5" customHeight="1" x14ac:dyDescent="0.25">
      <c r="B37" s="31">
        <v>127</v>
      </c>
      <c r="C37" s="80" t="s">
        <v>25</v>
      </c>
      <c r="D37" s="47" t="s">
        <v>45</v>
      </c>
      <c r="E37" s="84">
        <v>46184</v>
      </c>
      <c r="F37" s="55" t="str">
        <f t="shared" si="5"/>
        <v/>
      </c>
      <c r="G37" s="55" t="str">
        <f t="shared" si="6"/>
        <v/>
      </c>
      <c r="H37" s="55" t="str">
        <f t="shared" si="7"/>
        <v/>
      </c>
      <c r="I37" s="55" t="str">
        <f t="shared" si="8"/>
        <v/>
      </c>
      <c r="J37" s="55" t="str">
        <f t="shared" si="9"/>
        <v/>
      </c>
      <c r="K37" s="56" t="s">
        <v>375</v>
      </c>
      <c r="L37" s="55" t="str">
        <f t="shared" si="10"/>
        <v/>
      </c>
      <c r="M37" s="55" t="str">
        <f t="shared" si="11"/>
        <v/>
      </c>
      <c r="N37" s="55" t="str">
        <f t="shared" si="12"/>
        <v/>
      </c>
      <c r="O37" s="55" t="str">
        <f t="shared" si="13"/>
        <v/>
      </c>
      <c r="P37" s="55" t="str">
        <f t="shared" si="14"/>
        <v/>
      </c>
      <c r="Q37" s="57" t="str">
        <f t="shared" si="15"/>
        <v/>
      </c>
    </row>
    <row r="38" spans="2:17" s="4" customFormat="1" ht="16.5" customHeight="1" x14ac:dyDescent="0.25">
      <c r="B38" s="31">
        <v>116</v>
      </c>
      <c r="C38" s="80" t="s">
        <v>15</v>
      </c>
      <c r="D38" s="47" t="s">
        <v>56</v>
      </c>
      <c r="E38" s="84">
        <v>46184</v>
      </c>
      <c r="F38" s="55" t="str">
        <f t="shared" si="5"/>
        <v/>
      </c>
      <c r="G38" s="55" t="str">
        <f t="shared" si="6"/>
        <v/>
      </c>
      <c r="H38" s="55" t="str">
        <f t="shared" si="7"/>
        <v/>
      </c>
      <c r="I38" s="55" t="str">
        <f t="shared" si="8"/>
        <v/>
      </c>
      <c r="J38" s="55" t="str">
        <f t="shared" si="9"/>
        <v/>
      </c>
      <c r="K38" s="56" t="s">
        <v>375</v>
      </c>
      <c r="L38" s="55" t="str">
        <f t="shared" si="10"/>
        <v/>
      </c>
      <c r="M38" s="55" t="str">
        <f t="shared" si="11"/>
        <v/>
      </c>
      <c r="N38" s="55" t="str">
        <f t="shared" si="12"/>
        <v/>
      </c>
      <c r="O38" s="55" t="str">
        <f t="shared" si="13"/>
        <v/>
      </c>
      <c r="P38" s="55" t="str">
        <f t="shared" si="14"/>
        <v/>
      </c>
      <c r="Q38" s="57" t="str">
        <f t="shared" si="15"/>
        <v/>
      </c>
    </row>
    <row r="39" spans="2:17" s="4" customFormat="1" ht="16.5" customHeight="1" x14ac:dyDescent="0.25">
      <c r="B39" s="31">
        <v>97</v>
      </c>
      <c r="C39" s="80" t="s">
        <v>15</v>
      </c>
      <c r="D39" s="47" t="s">
        <v>20</v>
      </c>
      <c r="E39" s="84">
        <v>46184</v>
      </c>
      <c r="F39" s="55" t="str">
        <f t="shared" si="5"/>
        <v/>
      </c>
      <c r="G39" s="55" t="str">
        <f t="shared" si="6"/>
        <v/>
      </c>
      <c r="H39" s="55" t="str">
        <f t="shared" si="7"/>
        <v/>
      </c>
      <c r="I39" s="55" t="str">
        <f t="shared" si="8"/>
        <v/>
      </c>
      <c r="J39" s="55" t="str">
        <f t="shared" si="9"/>
        <v/>
      </c>
      <c r="K39" s="56" t="s">
        <v>375</v>
      </c>
      <c r="L39" s="55" t="str">
        <f t="shared" si="10"/>
        <v/>
      </c>
      <c r="M39" s="55" t="str">
        <f t="shared" si="11"/>
        <v/>
      </c>
      <c r="N39" s="55" t="str">
        <f t="shared" si="12"/>
        <v/>
      </c>
      <c r="O39" s="55" t="str">
        <f t="shared" si="13"/>
        <v/>
      </c>
      <c r="P39" s="55" t="str">
        <f t="shared" si="14"/>
        <v/>
      </c>
      <c r="Q39" s="55" t="str">
        <f t="shared" si="15"/>
        <v/>
      </c>
    </row>
    <row r="40" spans="2:17" s="4" customFormat="1" ht="16.5" customHeight="1" x14ac:dyDescent="0.25">
      <c r="B40" s="31">
        <v>188</v>
      </c>
      <c r="C40" s="80" t="s">
        <v>15</v>
      </c>
      <c r="D40" s="47" t="s">
        <v>56</v>
      </c>
      <c r="E40" s="83">
        <v>46211</v>
      </c>
      <c r="F40" s="55" t="str">
        <f t="shared" si="5"/>
        <v/>
      </c>
      <c r="G40" s="55" t="str">
        <f t="shared" si="6"/>
        <v/>
      </c>
      <c r="H40" s="55" t="str">
        <f t="shared" si="7"/>
        <v/>
      </c>
      <c r="I40" s="55" t="str">
        <f t="shared" si="8"/>
        <v/>
      </c>
      <c r="J40" s="55" t="str">
        <f t="shared" si="9"/>
        <v/>
      </c>
      <c r="K40" s="55"/>
      <c r="L40" s="86" t="s">
        <v>375</v>
      </c>
      <c r="M40" s="55" t="str">
        <f t="shared" si="11"/>
        <v/>
      </c>
      <c r="N40" s="55" t="str">
        <f t="shared" si="12"/>
        <v/>
      </c>
      <c r="O40" s="55" t="str">
        <f t="shared" si="13"/>
        <v/>
      </c>
      <c r="P40" s="55" t="str">
        <f t="shared" si="14"/>
        <v/>
      </c>
      <c r="Q40" s="57" t="str">
        <f t="shared" si="15"/>
        <v/>
      </c>
    </row>
    <row r="41" spans="2:17" s="4" customFormat="1" ht="16.5" customHeight="1" x14ac:dyDescent="0.25">
      <c r="B41" s="31">
        <v>185</v>
      </c>
      <c r="C41" s="80" t="s">
        <v>25</v>
      </c>
      <c r="D41" s="47" t="s">
        <v>20</v>
      </c>
      <c r="E41" s="83" t="s">
        <v>410</v>
      </c>
      <c r="F41" s="55"/>
      <c r="G41" s="55"/>
      <c r="H41" s="55"/>
      <c r="I41" s="55"/>
      <c r="J41" s="55"/>
      <c r="K41" s="55"/>
      <c r="L41" s="55"/>
      <c r="M41" s="55"/>
      <c r="N41" s="55"/>
      <c r="O41" s="55"/>
      <c r="P41" s="55"/>
      <c r="Q41" s="57"/>
    </row>
    <row r="42" spans="2:17" s="4" customFormat="1" ht="16.5" customHeight="1" x14ac:dyDescent="0.25">
      <c r="B42" s="31">
        <v>178</v>
      </c>
      <c r="C42" s="80" t="s">
        <v>25</v>
      </c>
      <c r="D42" s="47" t="s">
        <v>137</v>
      </c>
      <c r="E42" s="83" t="s">
        <v>410</v>
      </c>
      <c r="F42" s="55"/>
      <c r="G42" s="55"/>
      <c r="H42" s="55"/>
      <c r="I42" s="55"/>
      <c r="J42" s="55"/>
      <c r="K42" s="55"/>
      <c r="L42" s="55"/>
      <c r="M42" s="55"/>
      <c r="N42" s="55"/>
      <c r="O42" s="55"/>
      <c r="P42" s="55"/>
      <c r="Q42" s="57"/>
    </row>
    <row r="43" spans="2:17" customFormat="1" ht="30" customHeight="1" thickBot="1" x14ac:dyDescent="0.3">
      <c r="B43" s="132" t="s">
        <v>33</v>
      </c>
      <c r="C43" s="133"/>
      <c r="D43" s="133"/>
      <c r="E43" s="133"/>
      <c r="F43" s="133"/>
      <c r="G43" s="133"/>
      <c r="H43" s="133"/>
      <c r="I43" s="133"/>
      <c r="J43" s="133"/>
      <c r="K43" s="133"/>
      <c r="L43" s="133"/>
      <c r="M43" s="133"/>
      <c r="N43" s="133"/>
      <c r="O43" s="133"/>
      <c r="P43" s="133"/>
      <c r="Q43" s="134"/>
    </row>
    <row r="44" spans="2:17" customFormat="1" ht="33.75" customHeight="1" x14ac:dyDescent="0.25">
      <c r="B44" s="14" t="s">
        <v>120</v>
      </c>
      <c r="C44" s="76" t="s">
        <v>2</v>
      </c>
      <c r="D44" s="14" t="s">
        <v>5</v>
      </c>
      <c r="E44" s="82" t="s">
        <v>112</v>
      </c>
      <c r="F44" s="19" t="s">
        <v>95</v>
      </c>
      <c r="G44" s="19" t="s">
        <v>125</v>
      </c>
      <c r="H44" s="19" t="s">
        <v>96</v>
      </c>
      <c r="I44" s="19" t="s">
        <v>97</v>
      </c>
      <c r="J44" s="19" t="s">
        <v>98</v>
      </c>
      <c r="K44" s="19" t="s">
        <v>99</v>
      </c>
      <c r="L44" s="19" t="s">
        <v>100</v>
      </c>
      <c r="M44" s="19" t="s">
        <v>101</v>
      </c>
      <c r="N44" s="19" t="s">
        <v>102</v>
      </c>
      <c r="O44" s="19" t="s">
        <v>103</v>
      </c>
      <c r="P44" s="19" t="s">
        <v>104</v>
      </c>
      <c r="Q44" s="20" t="s">
        <v>105</v>
      </c>
    </row>
    <row r="45" spans="2:17" customFormat="1" ht="16.5" customHeight="1" x14ac:dyDescent="0.25">
      <c r="B45" s="31">
        <v>183</v>
      </c>
      <c r="C45" s="80" t="s">
        <v>25</v>
      </c>
      <c r="D45" s="49" t="s">
        <v>398</v>
      </c>
      <c r="E45" s="85">
        <v>46234</v>
      </c>
      <c r="F45" s="50" t="str">
        <f>IF(MONTH($E45)=1,"●","")</f>
        <v/>
      </c>
      <c r="G45" s="44" t="str">
        <f>IF(MONTH($E45)=2,"●","")</f>
        <v/>
      </c>
      <c r="H45" s="44" t="s">
        <v>376</v>
      </c>
      <c r="I45" s="44" t="s">
        <v>376</v>
      </c>
      <c r="J45" s="44" t="s">
        <v>376</v>
      </c>
      <c r="K45" s="44" t="s">
        <v>376</v>
      </c>
      <c r="L45" s="51" t="s">
        <v>375</v>
      </c>
      <c r="M45" s="44" t="str">
        <f>IF(MONTH($E45)=8,"●","")</f>
        <v/>
      </c>
      <c r="N45" s="44" t="str">
        <f>IF(MONTH($E45)=9,"●","")</f>
        <v/>
      </c>
      <c r="O45" s="44" t="str">
        <f>IF(MONTH($E45)=10,"●","")</f>
        <v/>
      </c>
      <c r="P45" s="44" t="str">
        <f>IF(MONTH($E45)=11,"●","")</f>
        <v/>
      </c>
      <c r="Q45" s="45" t="str">
        <f>IF(MONTH($E45)=12,"●","")</f>
        <v/>
      </c>
    </row>
    <row r="46" spans="2:17" customFormat="1" ht="16.5" customHeight="1" x14ac:dyDescent="0.25">
      <c r="B46" s="31">
        <v>142</v>
      </c>
      <c r="C46" s="80" t="s">
        <v>15</v>
      </c>
      <c r="D46" s="49" t="s">
        <v>207</v>
      </c>
      <c r="E46" s="85">
        <v>46113</v>
      </c>
      <c r="F46" s="46" t="str">
        <f>IF(MONTH($E46)=1,"●","")</f>
        <v/>
      </c>
      <c r="G46" s="44" t="str">
        <f>IF(MONTH($E46)=2,"●","")</f>
        <v/>
      </c>
      <c r="H46" s="44" t="s">
        <v>376</v>
      </c>
      <c r="I46" s="48" t="s">
        <v>375</v>
      </c>
      <c r="J46" s="44" t="s">
        <v>376</v>
      </c>
      <c r="K46" s="44" t="s">
        <v>376</v>
      </c>
      <c r="L46" s="44" t="s">
        <v>376</v>
      </c>
      <c r="M46" s="44" t="str">
        <f>IF(MONTH($E46)=8,"●","")</f>
        <v/>
      </c>
      <c r="N46" s="44" t="str">
        <f>IF(MONTH($E46)=9,"●","")</f>
        <v/>
      </c>
      <c r="O46" s="44" t="str">
        <f>IF(MONTH($E46)=10,"●","")</f>
        <v/>
      </c>
      <c r="P46" s="44" t="str">
        <f>IF(MONTH($E46)=11,"●","")</f>
        <v/>
      </c>
      <c r="Q46" s="45" t="str">
        <f>IF(MONTH($E46)=12,"●","")</f>
        <v/>
      </c>
    </row>
    <row r="47" spans="2:17" customFormat="1" ht="16.5" customHeight="1" x14ac:dyDescent="0.25">
      <c r="B47" s="31">
        <v>172</v>
      </c>
      <c r="C47" s="80" t="s">
        <v>15</v>
      </c>
      <c r="D47" s="49" t="s">
        <v>122</v>
      </c>
      <c r="E47" s="85">
        <v>46174</v>
      </c>
      <c r="F47" s="50" t="str">
        <f>IF(MONTH($E47)=1,"●","")</f>
        <v/>
      </c>
      <c r="G47" s="44" t="str">
        <f>IF(MONTH($E47)=2,"●","")</f>
        <v/>
      </c>
      <c r="H47" s="44" t="s">
        <v>376</v>
      </c>
      <c r="I47" s="44" t="s">
        <v>376</v>
      </c>
      <c r="J47" s="44" t="s">
        <v>376</v>
      </c>
      <c r="K47" s="48" t="s">
        <v>375</v>
      </c>
      <c r="L47" s="44" t="s">
        <v>376</v>
      </c>
      <c r="M47" s="44" t="str">
        <f>IF(MONTH($E47)=8,"●","")</f>
        <v/>
      </c>
      <c r="N47" s="44" t="str">
        <f>IF(MONTH($E47)=9,"●","")</f>
        <v/>
      </c>
      <c r="O47" s="44" t="str">
        <f>IF(MONTH($E47)=10,"●","")</f>
        <v/>
      </c>
      <c r="P47" s="44" t="str">
        <f>IF(MONTH($E47)=11,"●","")</f>
        <v/>
      </c>
      <c r="Q47" s="45" t="str">
        <f>IF(MONTH($E47)=12,"●","")</f>
        <v/>
      </c>
    </row>
    <row r="48" spans="2:17" customFormat="1" ht="16.5" customHeight="1" x14ac:dyDescent="0.25">
      <c r="B48" s="31">
        <v>173</v>
      </c>
      <c r="C48" s="80" t="s">
        <v>15</v>
      </c>
      <c r="D48" s="49" t="s">
        <v>130</v>
      </c>
      <c r="E48" s="83" t="s">
        <v>410</v>
      </c>
      <c r="F48" s="50"/>
      <c r="G48" s="44"/>
      <c r="H48" s="44"/>
      <c r="I48" s="44"/>
      <c r="J48" s="44"/>
      <c r="K48" s="44"/>
      <c r="L48" s="44"/>
      <c r="M48" s="44"/>
      <c r="N48" s="44"/>
      <c r="O48" s="44"/>
      <c r="P48" s="44"/>
      <c r="Q48" s="45"/>
    </row>
    <row r="49" spans="2:17" s="4" customFormat="1" ht="16.5" customHeight="1" x14ac:dyDescent="0.25">
      <c r="B49" s="31">
        <v>171</v>
      </c>
      <c r="C49" s="80" t="s">
        <v>15</v>
      </c>
      <c r="D49" s="49" t="s">
        <v>111</v>
      </c>
      <c r="E49" s="83" t="s">
        <v>410</v>
      </c>
      <c r="F49" s="50"/>
      <c r="G49" s="44"/>
      <c r="H49" s="44"/>
      <c r="I49" s="44"/>
      <c r="J49" s="44"/>
      <c r="K49" s="44"/>
      <c r="L49" s="44"/>
      <c r="M49" s="44"/>
      <c r="N49" s="44"/>
      <c r="O49" s="44"/>
      <c r="P49" s="44"/>
      <c r="Q49" s="45"/>
    </row>
    <row r="50" spans="2:17" s="4" customFormat="1" ht="16.5" customHeight="1" x14ac:dyDescent="0.25">
      <c r="B50" s="31">
        <v>149</v>
      </c>
      <c r="C50" s="80" t="s">
        <v>15</v>
      </c>
      <c r="D50" s="49" t="s">
        <v>42</v>
      </c>
      <c r="E50" s="83" t="s">
        <v>410</v>
      </c>
      <c r="F50" s="50"/>
      <c r="G50" s="44"/>
      <c r="H50" s="44"/>
      <c r="I50" s="44"/>
      <c r="J50" s="44"/>
      <c r="K50" s="44"/>
      <c r="L50" s="44"/>
      <c r="M50" s="44"/>
      <c r="N50" s="44"/>
      <c r="O50" s="44"/>
      <c r="P50" s="44"/>
      <c r="Q50" s="45"/>
    </row>
    <row r="51" spans="2:17" customFormat="1" ht="16.5" customHeight="1" thickBot="1" x14ac:dyDescent="0.3">
      <c r="B51" s="98">
        <v>147</v>
      </c>
      <c r="C51" s="99" t="s">
        <v>15</v>
      </c>
      <c r="D51" s="100" t="s">
        <v>78</v>
      </c>
      <c r="E51" s="90" t="s">
        <v>410</v>
      </c>
      <c r="F51" s="101"/>
      <c r="G51" s="91"/>
      <c r="H51" s="91"/>
      <c r="I51" s="91"/>
      <c r="J51" s="91"/>
      <c r="K51" s="91"/>
      <c r="L51" s="91"/>
      <c r="M51" s="91"/>
      <c r="N51" s="91"/>
      <c r="O51" s="91"/>
      <c r="P51" s="91"/>
      <c r="Q51" s="91"/>
    </row>
    <row r="52" spans="2:17" customFormat="1" ht="27" customHeight="1" thickBot="1" x14ac:dyDescent="0.3">
      <c r="B52" s="120" t="s">
        <v>67</v>
      </c>
      <c r="C52" s="121"/>
      <c r="D52" s="121"/>
      <c r="E52" s="121"/>
      <c r="F52" s="121"/>
      <c r="G52" s="121"/>
      <c r="H52" s="121"/>
      <c r="I52" s="121"/>
      <c r="J52" s="121"/>
      <c r="K52" s="121"/>
      <c r="L52" s="121"/>
      <c r="M52" s="121"/>
      <c r="N52" s="121"/>
      <c r="O52" s="121"/>
      <c r="P52" s="121"/>
      <c r="Q52" s="122"/>
    </row>
    <row r="53" spans="2:17" customFormat="1" ht="39" customHeight="1" x14ac:dyDescent="0.25">
      <c r="B53" s="93" t="s">
        <v>120</v>
      </c>
      <c r="C53" s="94" t="s">
        <v>2</v>
      </c>
      <c r="D53" s="93" t="s">
        <v>5</v>
      </c>
      <c r="E53" s="95" t="s">
        <v>112</v>
      </c>
      <c r="F53" s="96" t="s">
        <v>95</v>
      </c>
      <c r="G53" s="96" t="s">
        <v>125</v>
      </c>
      <c r="H53" s="96" t="s">
        <v>96</v>
      </c>
      <c r="I53" s="96" t="s">
        <v>97</v>
      </c>
      <c r="J53" s="96" t="s">
        <v>98</v>
      </c>
      <c r="K53" s="96" t="s">
        <v>99</v>
      </c>
      <c r="L53" s="96" t="s">
        <v>100</v>
      </c>
      <c r="M53" s="96" t="s">
        <v>101</v>
      </c>
      <c r="N53" s="96" t="s">
        <v>102</v>
      </c>
      <c r="O53" s="96" t="s">
        <v>103</v>
      </c>
      <c r="P53" s="96" t="s">
        <v>104</v>
      </c>
      <c r="Q53" s="97" t="s">
        <v>105</v>
      </c>
    </row>
    <row r="54" spans="2:17" customFormat="1" ht="16.5" customHeight="1" x14ac:dyDescent="0.25">
      <c r="B54" s="25">
        <v>166</v>
      </c>
      <c r="C54" s="81" t="s">
        <v>15</v>
      </c>
      <c r="D54" s="21" t="s">
        <v>79</v>
      </c>
      <c r="E54" s="83" t="s">
        <v>410</v>
      </c>
      <c r="F54" s="44"/>
      <c r="G54" s="44"/>
      <c r="H54" s="44"/>
      <c r="I54" s="44"/>
      <c r="J54" s="44"/>
      <c r="K54" s="44"/>
      <c r="L54" s="44"/>
      <c r="M54" s="44"/>
      <c r="N54" s="44"/>
      <c r="O54" s="44"/>
      <c r="P54" s="44"/>
      <c r="Q54" s="45"/>
    </row>
    <row r="55" spans="2:17" ht="17.25" customHeight="1" x14ac:dyDescent="0.25">
      <c r="B55" s="24">
        <v>146</v>
      </c>
      <c r="C55" s="80" t="s">
        <v>15</v>
      </c>
      <c r="D55" s="22" t="s">
        <v>137</v>
      </c>
      <c r="E55" s="83" t="s">
        <v>410</v>
      </c>
      <c r="F55" s="44"/>
      <c r="G55" s="44"/>
      <c r="H55" s="44"/>
      <c r="I55" s="44"/>
      <c r="J55" s="44"/>
      <c r="K55" s="44"/>
      <c r="L55" s="44"/>
      <c r="M55" s="44"/>
      <c r="N55" s="44"/>
      <c r="O55" s="44"/>
      <c r="P55" s="44"/>
      <c r="Q55" s="45"/>
    </row>
    <row r="56" spans="2:17" ht="17.25" customHeight="1" thickBot="1" x14ac:dyDescent="0.3">
      <c r="B56" s="87">
        <v>144</v>
      </c>
      <c r="C56" s="88" t="s">
        <v>15</v>
      </c>
      <c r="D56" s="89" t="s">
        <v>78</v>
      </c>
      <c r="E56" s="90" t="s">
        <v>410</v>
      </c>
      <c r="F56" s="91"/>
      <c r="G56" s="91"/>
      <c r="H56" s="91"/>
      <c r="I56" s="91"/>
      <c r="J56" s="91"/>
      <c r="K56" s="91"/>
      <c r="L56" s="91"/>
      <c r="M56" s="91"/>
      <c r="N56" s="91"/>
      <c r="O56" s="91"/>
      <c r="P56" s="91"/>
      <c r="Q56" s="92"/>
    </row>
    <row r="57" spans="2:17" ht="21.75" customHeight="1" thickBot="1" x14ac:dyDescent="0.3">
      <c r="B57" s="120" t="s">
        <v>49</v>
      </c>
      <c r="C57" s="121"/>
      <c r="D57" s="121"/>
      <c r="E57" s="121"/>
      <c r="F57" s="121"/>
      <c r="G57" s="121"/>
      <c r="H57" s="121"/>
      <c r="I57" s="121"/>
      <c r="J57" s="121"/>
      <c r="K57" s="121"/>
      <c r="L57" s="121"/>
      <c r="M57" s="121"/>
      <c r="N57" s="121"/>
      <c r="O57" s="121"/>
      <c r="P57" s="121"/>
      <c r="Q57" s="122"/>
    </row>
    <row r="58" spans="2:17" ht="41.25" customHeight="1" x14ac:dyDescent="0.25">
      <c r="B58" s="93" t="s">
        <v>120</v>
      </c>
      <c r="C58" s="94" t="s">
        <v>2</v>
      </c>
      <c r="D58" s="93" t="s">
        <v>5</v>
      </c>
      <c r="E58" s="95" t="s">
        <v>112</v>
      </c>
      <c r="F58" s="96" t="s">
        <v>95</v>
      </c>
      <c r="G58" s="96" t="s">
        <v>125</v>
      </c>
      <c r="H58" s="96" t="s">
        <v>96</v>
      </c>
      <c r="I58" s="96" t="s">
        <v>97</v>
      </c>
      <c r="J58" s="96" t="s">
        <v>98</v>
      </c>
      <c r="K58" s="96" t="s">
        <v>99</v>
      </c>
      <c r="L58" s="96" t="s">
        <v>100</v>
      </c>
      <c r="M58" s="96" t="s">
        <v>101</v>
      </c>
      <c r="N58" s="96" t="s">
        <v>102</v>
      </c>
      <c r="O58" s="96" t="s">
        <v>103</v>
      </c>
      <c r="P58" s="96" t="s">
        <v>104</v>
      </c>
      <c r="Q58" s="97" t="s">
        <v>105</v>
      </c>
    </row>
    <row r="59" spans="2:17" ht="26.25" customHeight="1" x14ac:dyDescent="0.25">
      <c r="B59" s="24">
        <v>194</v>
      </c>
      <c r="C59" s="80" t="s">
        <v>15</v>
      </c>
      <c r="D59" s="22" t="s">
        <v>374</v>
      </c>
      <c r="E59" s="83" t="s">
        <v>410</v>
      </c>
      <c r="F59" s="44"/>
      <c r="G59" s="44"/>
      <c r="H59" s="44"/>
      <c r="I59" s="44"/>
      <c r="J59" s="44"/>
      <c r="K59" s="44"/>
      <c r="L59" s="44"/>
      <c r="M59" s="44"/>
      <c r="N59" s="44"/>
      <c r="O59" s="44"/>
      <c r="P59" s="44"/>
      <c r="Q59" s="45"/>
    </row>
  </sheetData>
  <mergeCells count="7">
    <mergeCell ref="B57:Q57"/>
    <mergeCell ref="B2:Q2"/>
    <mergeCell ref="B4:Q4"/>
    <mergeCell ref="B29:Q29"/>
    <mergeCell ref="B43:Q43"/>
    <mergeCell ref="B52:Q52"/>
    <mergeCell ref="B3:Q3"/>
  </mergeCells>
  <conditionalFormatting sqref="C6:C28 C31:C42 C45:C51">
    <cfRule type="containsText" dxfId="12" priority="1" operator="containsText" text="Critica">
      <formula>NOT(ISERROR(SEARCH("Critica",C6)))</formula>
    </cfRule>
    <cfRule type="containsText" dxfId="11" priority="2" operator="containsText" text="Alta">
      <formula>NOT(ISERROR(SEARCH("Alta",C6)))</formula>
    </cfRule>
    <cfRule type="containsText" dxfId="10" priority="3" operator="containsText" text="Media">
      <formula>NOT(ISERROR(SEARCH("Media",C6)))</formula>
    </cfRule>
    <cfRule type="containsText" dxfId="9" priority="4" operator="containsText" text="Baja">
      <formula>NOT(ISERROR(SEARCH("Baja",C6)))</formula>
    </cfRule>
  </conditionalFormatting>
  <conditionalFormatting sqref="C54:C56">
    <cfRule type="containsText" dxfId="8" priority="201" operator="containsText" text="Critica">
      <formula>NOT(ISERROR(SEARCH("Critica",C54)))</formula>
    </cfRule>
    <cfRule type="containsText" dxfId="7" priority="202" operator="containsText" text="Alta">
      <formula>NOT(ISERROR(SEARCH("Alta",C54)))</formula>
    </cfRule>
    <cfRule type="containsText" dxfId="6" priority="203" operator="containsText" text="Media">
      <formula>NOT(ISERROR(SEARCH("Media",C54)))</formula>
    </cfRule>
    <cfRule type="containsText" dxfId="5" priority="204" operator="containsText" text="Baja">
      <formula>NOT(ISERROR(SEARCH("Baja",C54)))</formula>
    </cfRule>
  </conditionalFormatting>
  <conditionalFormatting sqref="C59">
    <cfRule type="containsText" dxfId="4" priority="25" operator="containsText" text="Critica">
      <formula>NOT(ISERROR(SEARCH("Critica",C59)))</formula>
    </cfRule>
    <cfRule type="containsText" dxfId="3" priority="26" operator="containsText" text="Alta">
      <formula>NOT(ISERROR(SEARCH("Alta",C59)))</formula>
    </cfRule>
    <cfRule type="containsText" dxfId="2" priority="27" operator="containsText" text="Media">
      <formula>NOT(ISERROR(SEARCH("Media",C59)))</formula>
    </cfRule>
    <cfRule type="containsText" dxfId="1" priority="28" operator="containsText" text="Baja">
      <formula>NOT(ISERROR(SEARCH("Baja",C59)))</formula>
    </cfRule>
  </conditionalFormatting>
  <conditionalFormatting sqref="F6:Q17 F18:J18 L18:Q18 F19:Q59">
    <cfRule type="containsText" dxfId="0" priority="205" operator="containsText" text="●">
      <formula>NOT(ISERROR(SEARCH("●",F6)))</formula>
    </cfRule>
  </conditionalFormatting>
  <pageMargins left="0.70866141732283472" right="0.70866141732283472" top="0.74803149606299213" bottom="0.74803149606299213" header="0.31496062992125984" footer="0.31496062992125984"/>
  <pageSetup scale="3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F428F-6A39-46C5-8D21-07D616CF2457}">
  <sheetPr>
    <pageSetUpPr fitToPage="1"/>
  </sheetPr>
  <dimension ref="B1:I40"/>
  <sheetViews>
    <sheetView showGridLines="0" workbookViewId="0">
      <selection activeCell="L13" sqref="L13"/>
    </sheetView>
  </sheetViews>
  <sheetFormatPr baseColWidth="10" defaultRowHeight="15" x14ac:dyDescent="0.25"/>
  <cols>
    <col min="2" max="2" width="38.140625" customWidth="1"/>
    <col min="3" max="3" width="11.42578125" customWidth="1"/>
    <col min="4" max="4" width="3.85546875" customWidth="1"/>
    <col min="5" max="5" width="38.140625" customWidth="1"/>
    <col min="6" max="6" width="11.42578125" customWidth="1"/>
    <col min="7" max="7" width="3.85546875" customWidth="1"/>
    <col min="8" max="8" width="41.85546875" customWidth="1"/>
    <col min="9" max="9" width="11.42578125" customWidth="1"/>
  </cols>
  <sheetData>
    <row r="1" spans="2:9" ht="24.95" customHeight="1" x14ac:dyDescent="0.25">
      <c r="B1" s="171" t="s">
        <v>401</v>
      </c>
      <c r="C1" s="171"/>
      <c r="D1" s="172"/>
      <c r="E1" s="171"/>
      <c r="F1" s="171"/>
      <c r="G1" s="172"/>
      <c r="H1" s="171"/>
      <c r="I1" s="171"/>
    </row>
    <row r="2" spans="2:9" ht="24.95" customHeight="1" x14ac:dyDescent="0.25">
      <c r="B2" s="171"/>
      <c r="C2" s="171"/>
      <c r="D2" s="172"/>
      <c r="E2" s="171"/>
      <c r="F2" s="171"/>
      <c r="G2" s="172"/>
      <c r="H2" s="171"/>
      <c r="I2" s="171"/>
    </row>
    <row r="3" spans="2:9" ht="21.95" customHeight="1" x14ac:dyDescent="0.25">
      <c r="B3" s="173" t="s">
        <v>409</v>
      </c>
      <c r="C3" s="173"/>
      <c r="D3" s="174"/>
      <c r="E3" s="173"/>
      <c r="F3" s="173"/>
      <c r="G3" s="174"/>
      <c r="H3" s="173"/>
      <c r="I3" s="173"/>
    </row>
    <row r="4" spans="2:9" ht="6" customHeight="1" x14ac:dyDescent="0.25">
      <c r="B4" s="61"/>
      <c r="C4" s="61"/>
      <c r="D4" s="61"/>
      <c r="E4" s="61"/>
      <c r="F4" s="61"/>
      <c r="G4" s="61"/>
      <c r="H4" s="61"/>
      <c r="I4" s="61"/>
    </row>
    <row r="5" spans="2:9" ht="6" customHeight="1" x14ac:dyDescent="0.25">
      <c r="B5" s="61"/>
      <c r="C5" s="61"/>
      <c r="D5" s="61"/>
      <c r="E5" s="61"/>
      <c r="F5" s="61"/>
      <c r="G5" s="61"/>
      <c r="H5" s="61"/>
      <c r="I5" s="61"/>
    </row>
    <row r="6" spans="2:9" ht="6" customHeight="1" thickBot="1" x14ac:dyDescent="0.3">
      <c r="B6" s="61"/>
      <c r="C6" s="61"/>
      <c r="D6" s="61"/>
      <c r="E6" s="61"/>
      <c r="F6" s="61"/>
      <c r="G6" s="61"/>
      <c r="H6" s="61"/>
      <c r="I6" s="61"/>
    </row>
    <row r="7" spans="2:9" x14ac:dyDescent="0.25">
      <c r="B7" s="175" t="s">
        <v>402</v>
      </c>
      <c r="C7" s="176"/>
      <c r="D7" s="61"/>
      <c r="E7" s="177" t="s">
        <v>403</v>
      </c>
      <c r="F7" s="178"/>
      <c r="G7" s="61"/>
      <c r="H7" s="177" t="s">
        <v>404</v>
      </c>
      <c r="I7" s="178"/>
    </row>
    <row r="8" spans="2:9" x14ac:dyDescent="0.25">
      <c r="B8" s="69" t="s">
        <v>49</v>
      </c>
      <c r="C8" s="62">
        <v>1</v>
      </c>
      <c r="D8" s="61"/>
      <c r="E8" s="69" t="s">
        <v>56</v>
      </c>
      <c r="F8" s="62">
        <v>7</v>
      </c>
      <c r="G8" s="61"/>
      <c r="H8" s="69" t="s">
        <v>29</v>
      </c>
      <c r="I8" s="62">
        <v>26</v>
      </c>
    </row>
    <row r="9" spans="2:9" x14ac:dyDescent="0.25">
      <c r="B9" s="69" t="s">
        <v>67</v>
      </c>
      <c r="C9" s="62">
        <v>3</v>
      </c>
      <c r="D9" s="61"/>
      <c r="E9" s="69" t="s">
        <v>20</v>
      </c>
      <c r="F9" s="62">
        <v>5</v>
      </c>
      <c r="G9" s="61"/>
      <c r="H9" s="69" t="s">
        <v>18</v>
      </c>
      <c r="I9" s="62">
        <v>9</v>
      </c>
    </row>
    <row r="10" spans="2:9" x14ac:dyDescent="0.25">
      <c r="B10" s="69" t="s">
        <v>308</v>
      </c>
      <c r="C10" s="62">
        <v>7</v>
      </c>
      <c r="D10" s="61"/>
      <c r="E10" s="69" t="s">
        <v>45</v>
      </c>
      <c r="F10" s="62">
        <v>3</v>
      </c>
      <c r="G10" s="61"/>
      <c r="H10" s="69" t="s">
        <v>34</v>
      </c>
      <c r="I10" s="62">
        <v>9</v>
      </c>
    </row>
    <row r="11" spans="2:9" x14ac:dyDescent="0.25">
      <c r="B11" s="69" t="s">
        <v>17</v>
      </c>
      <c r="C11" s="62">
        <v>12</v>
      </c>
      <c r="D11" s="61"/>
      <c r="E11" s="69" t="s">
        <v>46</v>
      </c>
      <c r="F11" s="62">
        <v>3</v>
      </c>
      <c r="G11" s="61"/>
      <c r="H11" s="69" t="s">
        <v>190</v>
      </c>
      <c r="I11" s="62">
        <v>1</v>
      </c>
    </row>
    <row r="12" spans="2:9" x14ac:dyDescent="0.25">
      <c r="B12" s="70" t="s">
        <v>284</v>
      </c>
      <c r="C12" s="63">
        <v>23</v>
      </c>
      <c r="D12" s="61"/>
      <c r="E12" s="69" t="s">
        <v>28</v>
      </c>
      <c r="F12" s="62">
        <v>3</v>
      </c>
      <c r="G12" s="61"/>
      <c r="H12" s="69" t="s">
        <v>230</v>
      </c>
      <c r="I12" s="62">
        <v>1</v>
      </c>
    </row>
    <row r="13" spans="2:9" ht="15.75" thickBot="1" x14ac:dyDescent="0.3">
      <c r="B13" s="71" t="s">
        <v>397</v>
      </c>
      <c r="C13" s="64">
        <v>46</v>
      </c>
      <c r="D13" s="61"/>
      <c r="E13" s="69" t="s">
        <v>52</v>
      </c>
      <c r="F13" s="62">
        <v>3</v>
      </c>
      <c r="G13" s="61"/>
      <c r="H13" s="72" t="s">
        <v>397</v>
      </c>
      <c r="I13" s="66">
        <v>46</v>
      </c>
    </row>
    <row r="14" spans="2:9" ht="15.75" thickBot="1" x14ac:dyDescent="0.3">
      <c r="B14" s="60"/>
      <c r="C14" s="65"/>
      <c r="D14" s="61"/>
      <c r="E14" s="69" t="s">
        <v>63</v>
      </c>
      <c r="F14" s="62">
        <v>2</v>
      </c>
      <c r="G14" s="61"/>
      <c r="H14" s="60"/>
      <c r="I14" s="65"/>
    </row>
    <row r="15" spans="2:9" ht="15.75" thickBot="1" x14ac:dyDescent="0.3">
      <c r="B15" s="60"/>
      <c r="C15" s="65"/>
      <c r="D15" s="61"/>
      <c r="E15" s="69" t="s">
        <v>61</v>
      </c>
      <c r="F15" s="62">
        <v>2</v>
      </c>
      <c r="G15" s="61"/>
      <c r="H15" s="169" t="s">
        <v>406</v>
      </c>
      <c r="I15" s="170"/>
    </row>
    <row r="16" spans="2:9" x14ac:dyDescent="0.25">
      <c r="B16" s="169" t="s">
        <v>405</v>
      </c>
      <c r="C16" s="170"/>
      <c r="D16" s="61"/>
      <c r="E16" s="69" t="s">
        <v>43</v>
      </c>
      <c r="F16" s="62">
        <v>2</v>
      </c>
      <c r="G16" s="61"/>
      <c r="H16" s="69" t="s">
        <v>263</v>
      </c>
      <c r="I16" s="62">
        <v>28</v>
      </c>
    </row>
    <row r="17" spans="2:9" x14ac:dyDescent="0.25">
      <c r="B17" s="69" t="s">
        <v>161</v>
      </c>
      <c r="C17" s="62">
        <v>8</v>
      </c>
      <c r="D17" s="61"/>
      <c r="E17" s="69" t="s">
        <v>78</v>
      </c>
      <c r="F17" s="62">
        <v>2</v>
      </c>
      <c r="G17" s="61"/>
      <c r="H17" s="69" t="s">
        <v>262</v>
      </c>
      <c r="I17" s="62">
        <v>18</v>
      </c>
    </row>
    <row r="18" spans="2:9" ht="15.75" thickBot="1" x14ac:dyDescent="0.3">
      <c r="B18" s="69" t="s">
        <v>171</v>
      </c>
      <c r="C18" s="62">
        <v>6</v>
      </c>
      <c r="D18" s="61"/>
      <c r="E18" s="69" t="s">
        <v>137</v>
      </c>
      <c r="F18" s="62">
        <v>2</v>
      </c>
      <c r="G18" s="61"/>
      <c r="H18" s="72" t="s">
        <v>397</v>
      </c>
      <c r="I18" s="66">
        <v>46</v>
      </c>
    </row>
    <row r="19" spans="2:9" ht="15.75" thickBot="1" x14ac:dyDescent="0.3">
      <c r="B19" s="69" t="s">
        <v>261</v>
      </c>
      <c r="C19" s="62">
        <v>4</v>
      </c>
      <c r="D19" s="61"/>
      <c r="E19" s="69" t="s">
        <v>62</v>
      </c>
      <c r="F19" s="62">
        <v>2</v>
      </c>
      <c r="G19" s="61"/>
      <c r="H19" s="60"/>
      <c r="I19" s="65"/>
    </row>
    <row r="20" spans="2:9" x14ac:dyDescent="0.25">
      <c r="B20" s="69" t="s">
        <v>17</v>
      </c>
      <c r="C20" s="62">
        <v>3</v>
      </c>
      <c r="D20" s="61"/>
      <c r="E20" s="69" t="s">
        <v>83</v>
      </c>
      <c r="F20" s="62">
        <v>1</v>
      </c>
      <c r="G20" s="61"/>
      <c r="H20" s="169" t="s">
        <v>407</v>
      </c>
      <c r="I20" s="170"/>
    </row>
    <row r="21" spans="2:9" x14ac:dyDescent="0.25">
      <c r="B21" s="69" t="s">
        <v>30</v>
      </c>
      <c r="C21" s="62">
        <v>3</v>
      </c>
      <c r="D21" s="61"/>
      <c r="E21" s="69" t="s">
        <v>79</v>
      </c>
      <c r="F21" s="62">
        <v>1</v>
      </c>
      <c r="G21" s="61"/>
      <c r="H21" s="73" t="s">
        <v>399</v>
      </c>
      <c r="I21" s="67">
        <v>30</v>
      </c>
    </row>
    <row r="22" spans="2:9" x14ac:dyDescent="0.25">
      <c r="B22" s="69" t="s">
        <v>183</v>
      </c>
      <c r="C22" s="62">
        <v>2</v>
      </c>
      <c r="D22" s="61"/>
      <c r="E22" s="69" t="s">
        <v>81</v>
      </c>
      <c r="F22" s="62">
        <v>1</v>
      </c>
      <c r="G22" s="61"/>
      <c r="H22" s="74" t="s">
        <v>400</v>
      </c>
      <c r="I22" s="68">
        <v>16</v>
      </c>
    </row>
    <row r="23" spans="2:9" ht="15.75" thickBot="1" x14ac:dyDescent="0.3">
      <c r="B23" s="69" t="s">
        <v>239</v>
      </c>
      <c r="C23" s="62">
        <v>2</v>
      </c>
      <c r="D23" s="61"/>
      <c r="E23" s="69" t="s">
        <v>398</v>
      </c>
      <c r="F23" s="62">
        <v>1</v>
      </c>
      <c r="G23" s="61"/>
      <c r="H23" s="72" t="s">
        <v>397</v>
      </c>
      <c r="I23" s="66">
        <v>46</v>
      </c>
    </row>
    <row r="24" spans="2:9" x14ac:dyDescent="0.25">
      <c r="B24" s="69" t="s">
        <v>254</v>
      </c>
      <c r="C24" s="62">
        <v>2</v>
      </c>
      <c r="D24" s="61"/>
      <c r="E24" s="69" t="s">
        <v>122</v>
      </c>
      <c r="F24" s="62">
        <v>1</v>
      </c>
      <c r="G24" s="61"/>
    </row>
    <row r="25" spans="2:9" x14ac:dyDescent="0.25">
      <c r="B25" s="69" t="s">
        <v>205</v>
      </c>
      <c r="C25" s="62">
        <v>2</v>
      </c>
      <c r="D25" s="61"/>
      <c r="E25" s="69" t="s">
        <v>207</v>
      </c>
      <c r="F25" s="62">
        <v>1</v>
      </c>
      <c r="G25" s="61"/>
    </row>
    <row r="26" spans="2:9" x14ac:dyDescent="0.25">
      <c r="B26" s="69" t="s">
        <v>67</v>
      </c>
      <c r="C26" s="62">
        <v>1</v>
      </c>
      <c r="D26" s="61"/>
      <c r="E26" s="69" t="s">
        <v>130</v>
      </c>
      <c r="F26" s="62">
        <v>1</v>
      </c>
      <c r="G26" s="61"/>
    </row>
    <row r="27" spans="2:9" x14ac:dyDescent="0.25">
      <c r="B27" s="69" t="s">
        <v>180</v>
      </c>
      <c r="C27" s="62">
        <v>1</v>
      </c>
      <c r="D27" s="61"/>
      <c r="E27" s="69" t="s">
        <v>111</v>
      </c>
      <c r="F27" s="62">
        <v>1</v>
      </c>
      <c r="G27" s="61"/>
    </row>
    <row r="28" spans="2:9" x14ac:dyDescent="0.25">
      <c r="B28" s="69" t="s">
        <v>138</v>
      </c>
      <c r="C28" s="62">
        <v>1</v>
      </c>
      <c r="D28" s="61"/>
      <c r="E28" s="69" t="s">
        <v>38</v>
      </c>
      <c r="F28" s="62">
        <v>1</v>
      </c>
      <c r="G28" s="61"/>
    </row>
    <row r="29" spans="2:9" x14ac:dyDescent="0.25">
      <c r="B29" s="69" t="s">
        <v>200</v>
      </c>
      <c r="C29" s="62">
        <v>1</v>
      </c>
      <c r="D29" s="61"/>
      <c r="E29" s="69" t="s">
        <v>42</v>
      </c>
      <c r="F29" s="62">
        <v>1</v>
      </c>
      <c r="G29" s="61"/>
    </row>
    <row r="30" spans="2:9" ht="15.75" thickBot="1" x14ac:dyDescent="0.3">
      <c r="B30" s="69" t="s">
        <v>173</v>
      </c>
      <c r="C30" s="62">
        <v>1</v>
      </c>
      <c r="D30" s="61"/>
      <c r="E30" s="72" t="s">
        <v>397</v>
      </c>
      <c r="F30" s="66">
        <v>46</v>
      </c>
      <c r="G30" s="61"/>
    </row>
    <row r="31" spans="2:9" x14ac:dyDescent="0.25">
      <c r="B31" s="69" t="s">
        <v>208</v>
      </c>
      <c r="C31" s="62">
        <v>1</v>
      </c>
      <c r="D31" s="61"/>
      <c r="G31" s="61"/>
    </row>
    <row r="32" spans="2:9" x14ac:dyDescent="0.25">
      <c r="B32" s="69" t="s">
        <v>176</v>
      </c>
      <c r="C32" s="62">
        <v>1</v>
      </c>
      <c r="D32" s="61"/>
      <c r="G32" s="61"/>
    </row>
    <row r="33" spans="2:7" x14ac:dyDescent="0.25">
      <c r="B33" s="69" t="s">
        <v>44</v>
      </c>
      <c r="C33" s="62">
        <v>1</v>
      </c>
      <c r="D33" s="61"/>
      <c r="G33" s="61"/>
    </row>
    <row r="34" spans="2:7" x14ac:dyDescent="0.25">
      <c r="B34" s="69" t="s">
        <v>359</v>
      </c>
      <c r="C34" s="62">
        <v>1</v>
      </c>
      <c r="D34" s="61"/>
      <c r="G34" s="61"/>
    </row>
    <row r="35" spans="2:7" x14ac:dyDescent="0.25">
      <c r="B35" s="69" t="s">
        <v>258</v>
      </c>
      <c r="C35" s="62">
        <v>1</v>
      </c>
      <c r="D35" s="61"/>
      <c r="G35" s="61"/>
    </row>
    <row r="36" spans="2:7" x14ac:dyDescent="0.25">
      <c r="B36" s="69" t="s">
        <v>216</v>
      </c>
      <c r="C36" s="62">
        <v>1</v>
      </c>
      <c r="D36" s="61"/>
      <c r="G36" s="61"/>
    </row>
    <row r="37" spans="2:7" x14ac:dyDescent="0.25">
      <c r="B37" s="69" t="s">
        <v>195</v>
      </c>
      <c r="C37" s="62">
        <v>1</v>
      </c>
      <c r="D37" s="61"/>
      <c r="G37" s="61"/>
    </row>
    <row r="38" spans="2:7" x14ac:dyDescent="0.25">
      <c r="B38" s="69" t="s">
        <v>231</v>
      </c>
      <c r="C38" s="62">
        <v>1</v>
      </c>
      <c r="D38" s="61"/>
      <c r="G38" s="61"/>
    </row>
    <row r="39" spans="2:7" x14ac:dyDescent="0.25">
      <c r="B39" s="69" t="s">
        <v>80</v>
      </c>
      <c r="C39" s="62">
        <v>1</v>
      </c>
      <c r="D39" s="61"/>
      <c r="G39" s="61"/>
    </row>
    <row r="40" spans="2:7" ht="15.75" thickBot="1" x14ac:dyDescent="0.3">
      <c r="B40" s="72" t="s">
        <v>397</v>
      </c>
      <c r="C40" s="66">
        <v>46</v>
      </c>
      <c r="D40" s="61"/>
      <c r="G40" s="61"/>
    </row>
  </sheetData>
  <sortState xmlns:xlrd2="http://schemas.microsoft.com/office/spreadsheetml/2017/richdata2" ref="E8:F30">
    <sortCondition descending="1" ref="F8:F30"/>
  </sortState>
  <mergeCells count="8">
    <mergeCell ref="H20:I20"/>
    <mergeCell ref="B1:I2"/>
    <mergeCell ref="B3:I3"/>
    <mergeCell ref="B7:C7"/>
    <mergeCell ref="B16:C16"/>
    <mergeCell ref="E7:F7"/>
    <mergeCell ref="H7:I7"/>
    <mergeCell ref="H15:I15"/>
  </mergeCells>
  <conditionalFormatting sqref="C8:C12 C17:C39 F8:F29 I8:I12 I16:I17 I21:I22">
    <cfRule type="dataBar" priority="1">
      <dataBar>
        <cfvo type="min"/>
        <cfvo type="max"/>
        <color rgb="FFFF555A"/>
      </dataBar>
      <extLst>
        <ext xmlns:x14="http://schemas.microsoft.com/office/spreadsheetml/2009/9/main" uri="{B025F937-C7B1-47D3-B67F-A62EFF666E3E}">
          <x14:id>{A05FD28B-2D37-44CA-9218-A0350D11C7C5}</x14:id>
        </ext>
      </extLst>
    </cfRule>
  </conditionalFormatting>
  <pageMargins left="0.70866141732283472" right="0.70866141732283472" top="0.74803149606299213" bottom="0.74803149606299213" header="0.31496062992125984" footer="0.31496062992125984"/>
  <pageSetup scale="52" orientation="portrait" r:id="rId1"/>
  <extLst>
    <ext xmlns:x14="http://schemas.microsoft.com/office/spreadsheetml/2009/9/main" uri="{78C0D931-6437-407d-A8EE-F0AAD7539E65}">
      <x14:conditionalFormattings>
        <x14:conditionalFormatting xmlns:xm="http://schemas.microsoft.com/office/excel/2006/main">
          <x14:cfRule type="dataBar" id="{A05FD28B-2D37-44CA-9218-A0350D11C7C5}">
            <x14:dataBar minLength="0" maxLength="100" border="1" negativeBarBorderColorSameAsPositive="0">
              <x14:cfvo type="autoMin"/>
              <x14:cfvo type="autoMax"/>
              <x14:borderColor rgb="FFFF555A"/>
              <x14:negativeFillColor rgb="FFFF0000"/>
              <x14:negativeBorderColor rgb="FFFF0000"/>
              <x14:axisColor rgb="FF000000"/>
            </x14:dataBar>
          </x14:cfRule>
          <xm:sqref>C8:C12 C17:C39 F8:F29 I8:I12 I16:I17 I21:I22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0"/>
  <sheetViews>
    <sheetView workbookViewId="0"/>
  </sheetViews>
  <sheetFormatPr baseColWidth="10" defaultColWidth="8.7109375" defaultRowHeight="15" x14ac:dyDescent="0.25"/>
  <sheetData>
    <row r="1" spans="1:8" x14ac:dyDescent="0.25">
      <c r="A1" t="s">
        <v>0</v>
      </c>
      <c r="B1" t="s">
        <v>106</v>
      </c>
    </row>
    <row r="2" spans="1:8" x14ac:dyDescent="0.25">
      <c r="A2" t="s">
        <v>14</v>
      </c>
      <c r="B2">
        <v>24</v>
      </c>
    </row>
    <row r="3" spans="1:8" x14ac:dyDescent="0.25">
      <c r="A3" t="s">
        <v>37</v>
      </c>
      <c r="B3">
        <v>7</v>
      </c>
    </row>
    <row r="4" spans="1:8" x14ac:dyDescent="0.25">
      <c r="A4" t="s">
        <v>71</v>
      </c>
      <c r="B4">
        <v>6</v>
      </c>
    </row>
    <row r="5" spans="1:8" x14ac:dyDescent="0.25">
      <c r="A5" t="s">
        <v>24</v>
      </c>
      <c r="B5">
        <v>3</v>
      </c>
    </row>
    <row r="8" spans="1:8" x14ac:dyDescent="0.25">
      <c r="D8" t="s">
        <v>2</v>
      </c>
      <c r="E8" t="s">
        <v>106</v>
      </c>
    </row>
    <row r="9" spans="1:8" x14ac:dyDescent="0.25">
      <c r="D9" t="s">
        <v>25</v>
      </c>
      <c r="E9">
        <v>7</v>
      </c>
    </row>
    <row r="10" spans="1:8" x14ac:dyDescent="0.25">
      <c r="D10" t="s">
        <v>64</v>
      </c>
      <c r="E10">
        <v>1</v>
      </c>
    </row>
    <row r="11" spans="1:8" x14ac:dyDescent="0.25">
      <c r="D11" t="s">
        <v>39</v>
      </c>
      <c r="E11">
        <v>4</v>
      </c>
    </row>
    <row r="12" spans="1:8" x14ac:dyDescent="0.25">
      <c r="D12" t="s">
        <v>15</v>
      </c>
      <c r="E12">
        <v>28</v>
      </c>
    </row>
    <row r="15" spans="1:8" x14ac:dyDescent="0.25">
      <c r="G15" t="s">
        <v>107</v>
      </c>
      <c r="H15" t="s">
        <v>108</v>
      </c>
    </row>
    <row r="16" spans="1:8" x14ac:dyDescent="0.25">
      <c r="G16" t="s">
        <v>77</v>
      </c>
      <c r="H16">
        <v>1</v>
      </c>
    </row>
    <row r="17" spans="7:12" x14ac:dyDescent="0.25">
      <c r="G17" t="s">
        <v>49</v>
      </c>
      <c r="H17">
        <v>1</v>
      </c>
    </row>
    <row r="18" spans="7:12" x14ac:dyDescent="0.25">
      <c r="G18" t="s">
        <v>67</v>
      </c>
      <c r="H18">
        <v>2</v>
      </c>
    </row>
    <row r="19" spans="7:12" x14ac:dyDescent="0.25">
      <c r="G19" t="s">
        <v>33</v>
      </c>
      <c r="H19">
        <v>5</v>
      </c>
    </row>
    <row r="20" spans="7:12" x14ac:dyDescent="0.25">
      <c r="G20" t="s">
        <v>17</v>
      </c>
      <c r="H20">
        <v>13</v>
      </c>
    </row>
    <row r="21" spans="7:12" x14ac:dyDescent="0.25">
      <c r="G21" t="s">
        <v>27</v>
      </c>
      <c r="H21">
        <v>18</v>
      </c>
    </row>
    <row r="24" spans="7:12" x14ac:dyDescent="0.25">
      <c r="J24" t="s">
        <v>107</v>
      </c>
      <c r="K24" t="s">
        <v>109</v>
      </c>
      <c r="L24" t="s">
        <v>110</v>
      </c>
    </row>
    <row r="25" spans="7:12" x14ac:dyDescent="0.25">
      <c r="J25" t="s">
        <v>17</v>
      </c>
      <c r="K25">
        <v>13</v>
      </c>
      <c r="L25">
        <v>0</v>
      </c>
    </row>
    <row r="26" spans="7:12" x14ac:dyDescent="0.25">
      <c r="J26" t="s">
        <v>27</v>
      </c>
      <c r="K26">
        <v>16</v>
      </c>
      <c r="L26">
        <v>2</v>
      </c>
    </row>
    <row r="27" spans="7:12" x14ac:dyDescent="0.25">
      <c r="J27" t="s">
        <v>33</v>
      </c>
      <c r="K27">
        <v>5</v>
      </c>
      <c r="L27">
        <v>0</v>
      </c>
    </row>
    <row r="28" spans="7:12" x14ac:dyDescent="0.25">
      <c r="J28" t="s">
        <v>49</v>
      </c>
      <c r="K28">
        <v>0</v>
      </c>
      <c r="L28">
        <v>1</v>
      </c>
    </row>
    <row r="29" spans="7:12" x14ac:dyDescent="0.25">
      <c r="J29" t="s">
        <v>67</v>
      </c>
      <c r="K29">
        <v>2</v>
      </c>
      <c r="L29">
        <v>0</v>
      </c>
    </row>
    <row r="30" spans="7:12" x14ac:dyDescent="0.25">
      <c r="J30" t="s">
        <v>77</v>
      </c>
      <c r="K30">
        <v>1</v>
      </c>
      <c r="L30">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d0f95ea-21b7-4fd9-8a38-848c4c4d835f">
      <Terms xmlns="http://schemas.microsoft.com/office/infopath/2007/PartnerControls"/>
    </lcf76f155ced4ddcb4097134ff3c332f>
    <TaxCatchAll xmlns="5022fa63-033e-476a-a163-6c889c650d1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3C2F43E3AFFD8428E9C01852ED6C55F" ma:contentTypeVersion="14" ma:contentTypeDescription="Crear nuevo documento." ma:contentTypeScope="" ma:versionID="7a72cf6a8ea092be8b8cbe36ca694e36">
  <xsd:schema xmlns:xsd="http://www.w3.org/2001/XMLSchema" xmlns:xs="http://www.w3.org/2001/XMLSchema" xmlns:p="http://schemas.microsoft.com/office/2006/metadata/properties" xmlns:ns2="ed0f95ea-21b7-4fd9-8a38-848c4c4d835f" xmlns:ns3="5022fa63-033e-476a-a163-6c889c650d1d" targetNamespace="http://schemas.microsoft.com/office/2006/metadata/properties" ma:root="true" ma:fieldsID="6bbcd3316bc76c02f68bcbe6d714a639" ns2:_="" ns3:_="">
    <xsd:import namespace="ed0f95ea-21b7-4fd9-8a38-848c4c4d835f"/>
    <xsd:import namespace="5022fa63-033e-476a-a163-6c889c650d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0f95ea-21b7-4fd9-8a38-848c4c4d83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f7f2717a-120e-4188-aa79-9b0d3006e32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22fa63-033e-476a-a163-6c889c650d1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b565dea-0407-4456-9d96-d667480d4354}" ma:internalName="TaxCatchAll" ma:showField="CatchAllData" ma:web="5022fa63-033e-476a-a163-6c889c650d1d">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9F83EA4-89FB-473D-B87F-02D25D986AD6}">
  <ds:schemaRefs>
    <ds:schemaRef ds:uri="5022fa63-033e-476a-a163-6c889c650d1d"/>
    <ds:schemaRef ds:uri="http://purl.org/dc/terms/"/>
    <ds:schemaRef ds:uri="http://purl.org/dc/dcmitype/"/>
    <ds:schemaRef ds:uri="http://schemas.microsoft.com/office/2006/documentManagement/types"/>
    <ds:schemaRef ds:uri="ed0f95ea-21b7-4fd9-8a38-848c4c4d835f"/>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1D478C5E-5A5F-45CF-9160-A4F07EA4C1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0f95ea-21b7-4fd9-8a38-848c4c4d835f"/>
    <ds:schemaRef ds:uri="5022fa63-033e-476a-a163-6c889c650d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EDF1494-C34C-4136-A734-23CC8429607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Consolidado</vt:lpstr>
      <vt:lpstr>REPORTE SEMÁFORO SEMANAL</vt:lpstr>
      <vt:lpstr>REPORTE CALENDARIO</vt:lpstr>
      <vt:lpstr>Dashboard</vt:lpstr>
      <vt:lpstr>ChartData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Marcelo Andrés Cifuentes Cazaux</cp:lastModifiedBy>
  <cp:revision/>
  <cp:lastPrinted>2026-06-30T20:11:07Z</cp:lastPrinted>
  <dcterms:created xsi:type="dcterms:W3CDTF">2026-03-18T13:21:52Z</dcterms:created>
  <dcterms:modified xsi:type="dcterms:W3CDTF">2026-07-03T22:01:46Z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0x01010093C2F43E3AFFD8428E9C01852ED6C55F</vt:lpwstr>
  </property>
  <property fmtid="{D5CDD505-2E9C-101B-9397-08002B2CF9AE}" pid="3" name="MediaServiceImageTags">
    <vt:lpwstr/>
  </property>
</Properties>
</file>